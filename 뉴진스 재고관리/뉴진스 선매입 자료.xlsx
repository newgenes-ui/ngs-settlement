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뉴진스 재고관리\"/>
    </mc:Choice>
  </mc:AlternateContent>
  <xr:revisionPtr revIDLastSave="0" documentId="8_{0AB826B9-859D-45AA-BDD0-B3DCFE72D63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구매현황" sheetId="1" r:id="rId1"/>
    <sheet name="Sheet1" sheetId="2" r:id="rId2"/>
  </sheets>
  <definedNames>
    <definedName name="_xlnm._FilterDatabase" localSheetId="0" hidden="1">구매현황!$A$1:$I$85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2" l="1"/>
  <c r="I32" i="2"/>
  <c r="G32" i="2"/>
</calcChain>
</file>

<file path=xl/sharedStrings.xml><?xml version="1.0" encoding="utf-8"?>
<sst xmlns="http://schemas.openxmlformats.org/spreadsheetml/2006/main" count="468" uniqueCount="174">
  <si>
    <t>일자-No.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</si>
  <si>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</si>
  <si>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</si>
  <si>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</si>
  <si>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</si>
  <si>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</si>
  <si>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</si>
  <si>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</si>
  <si>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2026/08/07 -2</t>
  </si>
  <si>
    <t>베르티스 강예지</t>
  </si>
  <si>
    <t>NGS-STAG1250-RS-2</t>
  </si>
  <si>
    <t>Nugens 1250 µl Pipette Tip, Refill type, Natural, Sterile [[768 Tips/Pack, 10 Packs/Carton]]</t>
  </si>
  <si>
    <t>2026/07/31 -5</t>
  </si>
  <si>
    <t>베르티스</t>
  </si>
  <si>
    <t>NGS-STAG-10L-RS</t>
  </si>
  <si>
    <t>NuGens AG Tip, 10ul, Extra Long, Nature, Racked,</t>
  </si>
  <si>
    <t>2026/07/29 -5</t>
  </si>
  <si>
    <t>선매입</t>
  </si>
  <si>
    <t>2026/07/21 -1</t>
  </si>
  <si>
    <t>STLS-1250</t>
  </si>
  <si>
    <t>EXCELL LS Refill Tip, 1250ul, Nature, Sterile (10PK/CS) [768 Tips/Pack (LPS)]</t>
  </si>
  <si>
    <t>2026/07/16 -2</t>
  </si>
  <si>
    <t>에이티지바이오</t>
  </si>
  <si>
    <t>NGS-SEP-100</t>
  </si>
  <si>
    <t>NuGen Serological pipette, Welding, 100ml [40 PCS/BOX, 6 BOXES/CASE]</t>
  </si>
  <si>
    <t>NGS-SEP-50</t>
  </si>
  <si>
    <t>NuGen Serological pipette, Welding, 50ml [75 PCS/BOX, 6 BOXES/CASE]</t>
  </si>
  <si>
    <t>2026/07/10 -3</t>
  </si>
  <si>
    <t>2026/07/03 -2</t>
  </si>
  <si>
    <t>이뮤노디자이너스 신효진T</t>
  </si>
  <si>
    <t>NGS-SEP-25</t>
  </si>
  <si>
    <t>NuGen Serological pipette, Welding, 25ml [100 PCS/BOX, 6 BOXES/CASE]</t>
  </si>
  <si>
    <t>2026/07/02 -1</t>
  </si>
  <si>
    <t>아주대 이광P</t>
  </si>
  <si>
    <t>NGS-SEP-10</t>
  </si>
  <si>
    <t>NuGen Serological pipette, Stretching, 10ml</t>
  </si>
  <si>
    <t>NGS-SEP-5</t>
  </si>
  <si>
    <t>NuGen Serological pipette, Stretching, 5ml [200 PCS/BOX, 6 BOXES/CASE]</t>
  </si>
  <si>
    <t>2026/06/30 -9</t>
  </si>
  <si>
    <t>91106</t>
  </si>
  <si>
    <t>주문 전 계산서 발행</t>
  </si>
  <si>
    <t>2026/06/10 -5</t>
  </si>
  <si>
    <t>2026/06/10 -1</t>
  </si>
  <si>
    <t>2026/05/21 -1</t>
  </si>
  <si>
    <t>이뮤노</t>
  </si>
  <si>
    <t>2026/05/20 -1</t>
  </si>
  <si>
    <t>NG-SEP-10</t>
  </si>
  <si>
    <t>NuGen Serological pipette, Stretching, 10ml [200 PCS/BOX, 6 BOXES/CASE] [BOX]</t>
  </si>
  <si>
    <t>2026/04/27 -2</t>
  </si>
  <si>
    <t>NGS-STAG-1250-RTS</t>
  </si>
  <si>
    <t>NuGen AG Refill Tip, 1250ul, Nature, Sterile</t>
  </si>
  <si>
    <t>NGS-STAG-200-RTS</t>
  </si>
  <si>
    <t>NuGen AG Refill Tip, 200ul, Nature, Sterile</t>
  </si>
  <si>
    <t>NGS-STAG-10-RTS</t>
  </si>
  <si>
    <t>NuGen AG Refill Tip, 10ul, Nature, Sterile</t>
  </si>
  <si>
    <t>2026/04/23 -2</t>
  </si>
  <si>
    <t>STAG-1250-B</t>
  </si>
  <si>
    <t>EXCELL AG Tip, 1250ul, Nature (1000 Tips/Pack, 5 packs/carton) [1000 Tips/Pack (LPS)]</t>
  </si>
  <si>
    <t>2026/04/23 -1</t>
  </si>
  <si>
    <t>2026/04/22 -1</t>
  </si>
  <si>
    <t>이뮤노디자이너스</t>
  </si>
  <si>
    <t>NGS-CT-3050-S</t>
  </si>
  <si>
    <t>NuGen 50ml Centrifuge Tube, Sterile/box</t>
  </si>
  <si>
    <t>NGS-CT-3015-S</t>
  </si>
  <si>
    <t>NuGen 15ml Centrifuge Tube, Sterile/box</t>
  </si>
  <si>
    <t>2026/04/17 -2</t>
  </si>
  <si>
    <t>NGS-STAG-1250-RS</t>
  </si>
  <si>
    <t>NuGen AG Tip 1250ul, Racked</t>
  </si>
  <si>
    <t>NGS-STAG-200-RS</t>
  </si>
  <si>
    <t>NuGen AG Tip 200ul, Racked</t>
  </si>
  <si>
    <t>NGS-STAG-10-RS</t>
  </si>
  <si>
    <t>NuGen AG Tip 10ul, Racked</t>
  </si>
  <si>
    <t>2026/03/18 -1</t>
  </si>
  <si>
    <t>NuGen AG Refill Tip, 1250ul, Nature, Sterile [carton]</t>
  </si>
  <si>
    <t>2026/03/10 -3</t>
  </si>
  <si>
    <t>2026/02/24 -1</t>
  </si>
  <si>
    <t>SCP-SK01</t>
  </si>
  <si>
    <t>EXCELL SL Single Channel Pipettes Starter Kit (Single Channel Pipettes 4자루 + Pipettes Stand) [4EA/P</t>
  </si>
  <si>
    <t>2026/02/13 -1</t>
  </si>
  <si>
    <t>이뮤노디자이너스_신효진</t>
  </si>
  <si>
    <t>2026/01/26 -4</t>
  </si>
  <si>
    <t>2026/01/23 -1</t>
  </si>
  <si>
    <t>솔리드바이오텍 김소영</t>
  </si>
  <si>
    <t>NG-STAG-200-RTS</t>
  </si>
  <si>
    <t>NuGen AG Refill Tip, 200ul, Yellow, Sterile [960 Tips/Pack, 10 Packs/Carton]</t>
  </si>
  <si>
    <t>NG-STAG-200-RS</t>
  </si>
  <si>
    <t>NuGen AG Tip, 200ul, Yellow, Racked, Sterile [96 Tips/rack, 10 racks/Pack, 5 Packs/Carton] [100Rack]</t>
  </si>
  <si>
    <t>2025/12/17 -1</t>
  </si>
  <si>
    <t>2025/12/16 -1</t>
  </si>
  <si>
    <t>서울대-송영훈_전민경</t>
  </si>
  <si>
    <t>CT-3050S-S</t>
  </si>
  <si>
    <t>Xcent 50ml Centrifuge Tube, Self Standing, Sterile</t>
  </si>
  <si>
    <t>2025/11/24 -3</t>
  </si>
  <si>
    <t>나노백스 천지혜</t>
  </si>
  <si>
    <t>CBT029</t>
  </si>
  <si>
    <t>1.5 M Tris HCl pH 8.8</t>
  </si>
  <si>
    <t>2025/11/12 -1</t>
  </si>
  <si>
    <t>SGS01</t>
  </si>
  <si>
    <t>Sun-Gel Staining Solution [1000ml(LPS)]</t>
  </si>
  <si>
    <t>CHM-2031</t>
  </si>
  <si>
    <t>Pre-Stainded Protein Marker(10-245kDa) [500µl (LPS)]</t>
  </si>
  <si>
    <t>2025/11/03 -4</t>
  </si>
  <si>
    <t>캠필러스</t>
  </si>
  <si>
    <t>2025/11/03 -1</t>
  </si>
  <si>
    <t>2025/10/20 -1</t>
  </si>
  <si>
    <t>아이엠디팜</t>
  </si>
  <si>
    <t>9999C</t>
  </si>
  <si>
    <t>Delivery Charge</t>
  </si>
  <si>
    <t>CBC006</t>
  </si>
  <si>
    <t>Coomassie blue R-250 Solution [1000ml (LPS)]</t>
  </si>
  <si>
    <t>2025/09/10 -1</t>
  </si>
  <si>
    <t>나노백스 안혜수</t>
  </si>
  <si>
    <t>LB-05</t>
  </si>
  <si>
    <t>LB Broth (High Salt) (500g)</t>
  </si>
  <si>
    <t>2025/09/05 -2</t>
  </si>
  <si>
    <t>나노백스 유상철</t>
  </si>
  <si>
    <t>A</t>
  </si>
  <si>
    <t>배송비</t>
  </si>
  <si>
    <t>TRI01</t>
  </si>
  <si>
    <t>TRIS (Ultrapure) [1KG(LPS)]</t>
  </si>
  <si>
    <t>2025/08/28 -1</t>
  </si>
  <si>
    <t>나노백스 정소원</t>
  </si>
  <si>
    <t>IMID500</t>
  </si>
  <si>
    <t>IMIDAZOLE 500G</t>
  </si>
  <si>
    <t>URE05</t>
  </si>
  <si>
    <t>UREA 5KG</t>
  </si>
  <si>
    <t>2025/07/28 -1</t>
  </si>
  <si>
    <t>나노백스</t>
  </si>
  <si>
    <t>IPTG025</t>
  </si>
  <si>
    <t>IPTG (white crystalline powder) [25G (LPS)]</t>
  </si>
  <si>
    <t>2025/07/18 -5</t>
  </si>
  <si>
    <t>디알피</t>
  </si>
  <si>
    <t>STN-1250-F</t>
  </si>
  <si>
    <t>EXCELL Filter Tip,1,250uL Nature (96Tips/Rack, 10 Racks/PK,5PK/CS)</t>
  </si>
  <si>
    <t>2025/07/18 -3</t>
  </si>
  <si>
    <t>2025/07/02 -2</t>
  </si>
  <si>
    <t>2025/06/24 -4</t>
  </si>
  <si>
    <t>NG-STAG-1250-RTS-ER</t>
  </si>
  <si>
    <t>NuGen AG Tip, Empty rack, 1250ul [10 racks/Pack, 5 Packs/Case] [100Rack]</t>
  </si>
  <si>
    <t>NG-STAG-200-TRS-ER</t>
  </si>
  <si>
    <t>NuGen AG Tip, Empty rack, 200ul [10 racks/Pack, 5 Packs/Case] [100Rack]</t>
  </si>
  <si>
    <t>NG-STAG-10-RTS-ER</t>
  </si>
  <si>
    <t>NuGen AG Tip, Empty rack, 10ul [10 racks/Pack, 5 Packs/Case] [100Rack]</t>
  </si>
  <si>
    <t>NG-STAG-1250-RS</t>
  </si>
  <si>
    <t>NuGen AG Tip, 1250ul, Nature, Racked, Sterile [96 Tips/rack, 10 racks/Pack, 5 Packs/Carton] [100/Rack]</t>
  </si>
  <si>
    <t>NG-STAG-10L-RS</t>
  </si>
  <si>
    <t>NuGen AG Tip, 10ul, Extra Long, Nature, Racked, Sterile [96 Tips/rack, 10 racks/Pack, 5 Packs/Carton [100/Rack]</t>
  </si>
  <si>
    <t>NG-STAG-10-RS</t>
  </si>
  <si>
    <t>NuGen AG Tip, 10ul, Nature, Racked, Sterile [96 Tips/rack, 10 racks/Pack, 5 Packs/Carton] [50/Rack]</t>
  </si>
  <si>
    <t>NG-STAG-1250-RTS</t>
  </si>
  <si>
    <t>NuGen AG Refill Tip, 1250ul, Nature, Sterile [480 Tips/Pack, 10 Packs/Carton] [100/Pack]</t>
  </si>
  <si>
    <t>NuGen AG Refill Tip, 200ul, Yellow, Sterile [960 Tips/Pack, 10 Packs/Carton] [100/Pack]</t>
  </si>
  <si>
    <t>NG-STAG-10-RTS</t>
  </si>
  <si>
    <t>NuGen AG Refill Tip, 10ul, Nature, Sterile [960 Tips/Pack, 10 Packs/Carton] [100/Pack]</t>
  </si>
  <si>
    <t>NG-CT-3050-S</t>
  </si>
  <si>
    <t>NuGen 50ml Centrifuge Tube, Sterile [25 PCS/Bag, 500PCS/Box] [BOX]</t>
  </si>
  <si>
    <t>NG-CT-3015-S</t>
  </si>
  <si>
    <t>NuGen 15ml Centrifuge Tube, Sterile [25 PCS/Bag, 500PCS/Box] [BOX]</t>
  </si>
  <si>
    <t>NG-SEP-100</t>
  </si>
  <si>
    <t>NuGen Serological pipette, Welding, 100ml [40 PCS/BOX, 6 BOXES/CASE] [BOX]</t>
  </si>
  <si>
    <t>NG-SEP-50</t>
  </si>
  <si>
    <t>NuGen Serological pipette, Welding, 50ml [75 PCS/BOX, 6 BOXES/CASE] [BOX]</t>
  </si>
  <si>
    <t>NG-SEP-25</t>
  </si>
  <si>
    <t>NuGen Serological pipette, Welding, 25ml [100 PCS/BOX, 6 BOXES/CASE] [BOX]</t>
  </si>
  <si>
    <t>NG-SEP-5</t>
  </si>
  <si>
    <t>NuGen Serological pipette, Stretching, 5ml [200 PCS/BOX, 6 BOXES/CASE] [BOX]</t>
  </si>
  <si>
    <t>2025/03/24 -4</t>
  </si>
  <si>
    <t>제노헬릭스</t>
  </si>
  <si>
    <t>CHM-2030</t>
  </si>
  <si>
    <t>LPSsolution Pre-Stainded Protein Marker(10-180kDa) 단위250ulx2</t>
  </si>
  <si>
    <t>총합계</t>
  </si>
  <si>
    <t>2026/08/07 (금) 오후 2:15:02</t>
  </si>
  <si>
    <t>선매입</t>
    <phoneticPr fontId="10" type="noConversion"/>
  </si>
  <si>
    <t>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</si>
</sst>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6"/>
  <sheetViews>
    <sheetView workbookViewId="0">
      <selection sqref="A1:I81"/>
    </sheetView>
  </sheetViews>
  <sheetFormatPr defaultRowHeight="17.399999999999999"/>
  <cols>
    <col min="1" max="1" width="16.5546875" customWidth="1"/>
    <col min="2" max="3" width="16.6640625" customWidth="1"/>
    <col min="4" max="4" width="24" customWidth="1"/>
    <col min="5" max="5" width="10.109375" customWidth="1"/>
    <col min="6" max="7" width="15.109375" customWidth="1"/>
    <col min="8" max="8" width="13.5546875" customWidth="1"/>
    <col min="9" max="9" width="14.33203125" customWidth="1"/>
  </cols>
  <sheetData>
    <row r="1" spans="1:9" ht="19.2">
      <c r="A1" s="1" t="s">
        <v>0</v>
      </c>
      <c r="B1" s="11" t="s">
        <v>172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96" hidden="1">
      <c r="A2" s="3" t="s">
        <v>8</v>
      </c>
      <c r="B2" s="5" t="s">
        <v>9</v>
      </c>
      <c r="C2" s="5" t="s">
        <v>10</v>
      </c>
      <c r="D2" s="4" t="s">
        <v>11</v>
      </c>
      <c r="E2" s="6">
        <v>30</v>
      </c>
      <c r="F2" s="6">
        <v>24000</v>
      </c>
      <c r="G2" s="6">
        <v>720000</v>
      </c>
      <c r="H2" s="6">
        <v>72000</v>
      </c>
      <c r="I2" s="6">
        <v>792000</v>
      </c>
    </row>
    <row r="3" spans="1:9" ht="57.6" hidden="1">
      <c r="A3" s="3" t="s">
        <v>12</v>
      </c>
      <c r="B3" s="5" t="s">
        <v>13</v>
      </c>
      <c r="C3" s="5" t="s">
        <v>14</v>
      </c>
      <c r="D3" s="4" t="s">
        <v>15</v>
      </c>
      <c r="E3" s="6">
        <v>15</v>
      </c>
      <c r="F3" s="6">
        <v>28000</v>
      </c>
      <c r="G3" s="6">
        <v>420000</v>
      </c>
      <c r="H3" s="6">
        <v>42000</v>
      </c>
      <c r="I3" s="6">
        <v>462000</v>
      </c>
    </row>
    <row r="4" spans="1:9" ht="57.6">
      <c r="A4" s="3" t="s">
        <v>16</v>
      </c>
      <c r="B4" s="5" t="s">
        <v>17</v>
      </c>
      <c r="C4" s="5" t="s">
        <v>14</v>
      </c>
      <c r="D4" s="4" t="s">
        <v>15</v>
      </c>
      <c r="E4" s="6">
        <v>25</v>
      </c>
      <c r="F4" s="6">
        <v>28000</v>
      </c>
      <c r="G4" s="6">
        <v>700000</v>
      </c>
      <c r="H4" s="6">
        <v>70000</v>
      </c>
      <c r="I4" s="6">
        <v>770000</v>
      </c>
    </row>
    <row r="5" spans="1:9" ht="76.8">
      <c r="A5" s="3" t="s">
        <v>18</v>
      </c>
      <c r="B5" s="5" t="s">
        <v>17</v>
      </c>
      <c r="C5" s="5" t="s">
        <v>19</v>
      </c>
      <c r="D5" s="4" t="s">
        <v>20</v>
      </c>
      <c r="E5" s="6">
        <v>100</v>
      </c>
      <c r="F5" s="6">
        <v>24000</v>
      </c>
      <c r="G5" s="6">
        <v>2400000</v>
      </c>
      <c r="H5" s="6">
        <v>240000</v>
      </c>
      <c r="I5" s="6">
        <v>2640000</v>
      </c>
    </row>
    <row r="6" spans="1:9" ht="76.8" hidden="1">
      <c r="A6" s="3" t="s">
        <v>21</v>
      </c>
      <c r="B6" s="5" t="s">
        <v>22</v>
      </c>
      <c r="C6" s="5" t="s">
        <v>23</v>
      </c>
      <c r="D6" s="4" t="s">
        <v>24</v>
      </c>
      <c r="E6" s="6">
        <v>1</v>
      </c>
      <c r="F6" s="6">
        <v>59500</v>
      </c>
      <c r="G6" s="6">
        <v>59500</v>
      </c>
      <c r="H6" s="6">
        <v>5950</v>
      </c>
      <c r="I6" s="6">
        <v>65450</v>
      </c>
    </row>
    <row r="7" spans="1:9" ht="76.8" hidden="1">
      <c r="A7" s="3" t="s">
        <v>21</v>
      </c>
      <c r="B7" s="5" t="s">
        <v>22</v>
      </c>
      <c r="C7" s="5" t="s">
        <v>25</v>
      </c>
      <c r="D7" s="4" t="s">
        <v>26</v>
      </c>
      <c r="E7" s="6">
        <v>1</v>
      </c>
      <c r="F7" s="6">
        <v>49000</v>
      </c>
      <c r="G7" s="6">
        <v>49000</v>
      </c>
      <c r="H7" s="6">
        <v>4900</v>
      </c>
      <c r="I7" s="6">
        <v>53900</v>
      </c>
    </row>
    <row r="8" spans="1:9" ht="96" hidden="1">
      <c r="A8" s="3" t="s">
        <v>27</v>
      </c>
      <c r="B8" s="5" t="s">
        <v>13</v>
      </c>
      <c r="C8" s="5" t="s">
        <v>10</v>
      </c>
      <c r="D8" s="4" t="s">
        <v>11</v>
      </c>
      <c r="E8" s="6">
        <v>30</v>
      </c>
      <c r="F8" s="6">
        <v>24000</v>
      </c>
      <c r="G8" s="6">
        <v>720000</v>
      </c>
      <c r="H8" s="6">
        <v>72000</v>
      </c>
      <c r="I8" s="6">
        <v>792000</v>
      </c>
    </row>
    <row r="9" spans="1:9" ht="76.8" hidden="1">
      <c r="A9" s="3" t="s">
        <v>28</v>
      </c>
      <c r="B9" s="5" t="s">
        <v>29</v>
      </c>
      <c r="C9" s="5" t="s">
        <v>30</v>
      </c>
      <c r="D9" s="4" t="s">
        <v>31</v>
      </c>
      <c r="E9" s="6">
        <v>6</v>
      </c>
      <c r="F9" s="6">
        <v>28000</v>
      </c>
      <c r="G9" s="6">
        <v>168000</v>
      </c>
      <c r="H9" s="6">
        <v>16800</v>
      </c>
      <c r="I9" s="6">
        <v>184800</v>
      </c>
    </row>
    <row r="10" spans="1:9" ht="76.8" hidden="1">
      <c r="A10" s="3" t="s">
        <v>32</v>
      </c>
      <c r="B10" s="5" t="s">
        <v>33</v>
      </c>
      <c r="C10" s="5" t="s">
        <v>30</v>
      </c>
      <c r="D10" s="4" t="s">
        <v>31</v>
      </c>
      <c r="E10" s="6">
        <v>2</v>
      </c>
      <c r="F10" s="6">
        <v>28000</v>
      </c>
      <c r="G10" s="6">
        <v>56000</v>
      </c>
      <c r="H10" s="6">
        <v>5600</v>
      </c>
      <c r="I10" s="6">
        <v>61600</v>
      </c>
    </row>
    <row r="11" spans="1:9" ht="57.6" hidden="1">
      <c r="A11" s="3" t="s">
        <v>32</v>
      </c>
      <c r="B11" s="5" t="s">
        <v>33</v>
      </c>
      <c r="C11" s="5" t="s">
        <v>34</v>
      </c>
      <c r="D11" s="4" t="s">
        <v>35</v>
      </c>
      <c r="E11" s="6">
        <v>2</v>
      </c>
      <c r="F11" s="6">
        <v>30000</v>
      </c>
      <c r="G11" s="6">
        <v>60000</v>
      </c>
      <c r="H11" s="6">
        <v>6000</v>
      </c>
      <c r="I11" s="6">
        <v>66000</v>
      </c>
    </row>
    <row r="12" spans="1:9" ht="76.8" hidden="1">
      <c r="A12" s="3" t="s">
        <v>32</v>
      </c>
      <c r="B12" s="5" t="s">
        <v>33</v>
      </c>
      <c r="C12" s="5" t="s">
        <v>36</v>
      </c>
      <c r="D12" s="4" t="s">
        <v>37</v>
      </c>
      <c r="E12" s="6">
        <v>2</v>
      </c>
      <c r="F12" s="6">
        <v>30000</v>
      </c>
      <c r="G12" s="6">
        <v>60000</v>
      </c>
      <c r="H12" s="6">
        <v>6000</v>
      </c>
      <c r="I12" s="6">
        <v>66000</v>
      </c>
    </row>
    <row r="13" spans="1:9" ht="19.2" hidden="1">
      <c r="A13" s="3" t="s">
        <v>38</v>
      </c>
      <c r="B13" s="5"/>
      <c r="C13" s="5" t="s">
        <v>39</v>
      </c>
      <c r="D13" s="4" t="s">
        <v>40</v>
      </c>
      <c r="E13" s="6">
        <v>1</v>
      </c>
      <c r="F13" s="6">
        <v>10030000</v>
      </c>
      <c r="G13" s="6">
        <v>10030000</v>
      </c>
      <c r="H13" s="6">
        <v>1003000</v>
      </c>
      <c r="I13" s="6">
        <v>11033000</v>
      </c>
    </row>
    <row r="14" spans="1:9" ht="96" hidden="1">
      <c r="A14" s="3" t="s">
        <v>41</v>
      </c>
      <c r="B14" s="5" t="s">
        <v>13</v>
      </c>
      <c r="C14" s="5" t="s">
        <v>10</v>
      </c>
      <c r="D14" s="4" t="s">
        <v>11</v>
      </c>
      <c r="E14" s="6">
        <v>30</v>
      </c>
      <c r="F14" s="6">
        <v>24000</v>
      </c>
      <c r="G14" s="6">
        <v>720000</v>
      </c>
      <c r="H14" s="6">
        <v>72000</v>
      </c>
      <c r="I14" s="6">
        <v>792000</v>
      </c>
    </row>
    <row r="15" spans="1:9" ht="96">
      <c r="A15" s="3" t="s">
        <v>42</v>
      </c>
      <c r="B15" s="5" t="s">
        <v>17</v>
      </c>
      <c r="C15" s="5" t="s">
        <v>10</v>
      </c>
      <c r="D15" s="4" t="s">
        <v>11</v>
      </c>
      <c r="E15" s="6">
        <v>30</v>
      </c>
      <c r="F15" s="6">
        <v>24000</v>
      </c>
      <c r="G15" s="6">
        <v>720000</v>
      </c>
      <c r="H15" s="6">
        <v>72000</v>
      </c>
      <c r="I15" s="6">
        <v>792000</v>
      </c>
    </row>
    <row r="16" spans="1:9" ht="57.6" hidden="1">
      <c r="A16" s="3" t="s">
        <v>43</v>
      </c>
      <c r="B16" s="5" t="s">
        <v>44</v>
      </c>
      <c r="C16" s="5" t="s">
        <v>34</v>
      </c>
      <c r="D16" s="4" t="s">
        <v>35</v>
      </c>
      <c r="E16" s="6">
        <v>6</v>
      </c>
      <c r="F16" s="6">
        <v>30000</v>
      </c>
      <c r="G16" s="6">
        <v>180000</v>
      </c>
      <c r="H16" s="6">
        <v>18000</v>
      </c>
      <c r="I16" s="6">
        <v>198000</v>
      </c>
    </row>
    <row r="17" spans="1:9" ht="76.8">
      <c r="A17" s="3" t="s">
        <v>45</v>
      </c>
      <c r="B17" s="5" t="s">
        <v>17</v>
      </c>
      <c r="C17" s="5" t="s">
        <v>46</v>
      </c>
      <c r="D17" s="4" t="s">
        <v>47</v>
      </c>
      <c r="E17" s="6">
        <v>12</v>
      </c>
      <c r="F17" s="6">
        <v>30000</v>
      </c>
      <c r="G17" s="6">
        <v>360000</v>
      </c>
      <c r="H17" s="6">
        <v>36000</v>
      </c>
      <c r="I17" s="6">
        <v>396000</v>
      </c>
    </row>
    <row r="18" spans="1:9" ht="38.4" hidden="1">
      <c r="A18" s="3" t="s">
        <v>48</v>
      </c>
      <c r="B18" s="5" t="s">
        <v>9</v>
      </c>
      <c r="C18" s="5" t="s">
        <v>49</v>
      </c>
      <c r="D18" s="4" t="s">
        <v>50</v>
      </c>
      <c r="E18" s="6">
        <v>40</v>
      </c>
      <c r="F18" s="6">
        <v>12500</v>
      </c>
      <c r="G18" s="6">
        <v>500000</v>
      </c>
      <c r="H18" s="6">
        <v>50000</v>
      </c>
      <c r="I18" s="6">
        <v>550000</v>
      </c>
    </row>
    <row r="19" spans="1:9" ht="38.4" hidden="1">
      <c r="A19" s="3" t="s">
        <v>48</v>
      </c>
      <c r="B19" s="5" t="s">
        <v>9</v>
      </c>
      <c r="C19" s="5" t="s">
        <v>51</v>
      </c>
      <c r="D19" s="4" t="s">
        <v>52</v>
      </c>
      <c r="E19" s="6">
        <v>40</v>
      </c>
      <c r="F19" s="6">
        <v>16000</v>
      </c>
      <c r="G19" s="6">
        <v>640000</v>
      </c>
      <c r="H19" s="6">
        <v>64000</v>
      </c>
      <c r="I19" s="6">
        <v>704000</v>
      </c>
    </row>
    <row r="20" spans="1:9" ht="38.4" hidden="1">
      <c r="A20" s="3" t="s">
        <v>48</v>
      </c>
      <c r="B20" s="5" t="s">
        <v>9</v>
      </c>
      <c r="C20" s="5" t="s">
        <v>53</v>
      </c>
      <c r="D20" s="4" t="s">
        <v>54</v>
      </c>
      <c r="E20" s="6">
        <v>40</v>
      </c>
      <c r="F20" s="6">
        <v>16000</v>
      </c>
      <c r="G20" s="6">
        <v>640000</v>
      </c>
      <c r="H20" s="6">
        <v>64000</v>
      </c>
      <c r="I20" s="6">
        <v>704000</v>
      </c>
    </row>
    <row r="21" spans="1:9" ht="96" hidden="1">
      <c r="A21" s="3" t="s">
        <v>55</v>
      </c>
      <c r="B21" s="5" t="s">
        <v>22</v>
      </c>
      <c r="C21" s="5" t="s">
        <v>56</v>
      </c>
      <c r="D21" s="4" t="s">
        <v>57</v>
      </c>
      <c r="E21" s="6">
        <v>10</v>
      </c>
      <c r="F21" s="6">
        <v>11200</v>
      </c>
      <c r="G21" s="6">
        <v>112000</v>
      </c>
      <c r="H21" s="6">
        <v>11200</v>
      </c>
      <c r="I21" s="6">
        <v>123200</v>
      </c>
    </row>
    <row r="22" spans="1:9" ht="96">
      <c r="A22" s="3" t="s">
        <v>58</v>
      </c>
      <c r="B22" s="5" t="s">
        <v>17</v>
      </c>
      <c r="C22" s="5" t="s">
        <v>56</v>
      </c>
      <c r="D22" s="4" t="s">
        <v>57</v>
      </c>
      <c r="E22" s="6">
        <v>10</v>
      </c>
      <c r="F22" s="6">
        <v>11200</v>
      </c>
      <c r="G22" s="6">
        <v>112000</v>
      </c>
      <c r="H22" s="6">
        <v>11200</v>
      </c>
      <c r="I22" s="6">
        <v>123200</v>
      </c>
    </row>
    <row r="23" spans="1:9" ht="57.6" hidden="1">
      <c r="A23" s="3" t="s">
        <v>59</v>
      </c>
      <c r="B23" s="5" t="s">
        <v>60</v>
      </c>
      <c r="C23" s="5" t="s">
        <v>61</v>
      </c>
      <c r="D23" s="4" t="s">
        <v>62</v>
      </c>
      <c r="E23" s="6">
        <v>1</v>
      </c>
      <c r="F23" s="6">
        <v>60000</v>
      </c>
      <c r="G23" s="6">
        <v>60000</v>
      </c>
      <c r="H23" s="6">
        <v>6000</v>
      </c>
      <c r="I23" s="6">
        <v>66000</v>
      </c>
    </row>
    <row r="24" spans="1:9" ht="57.6" hidden="1">
      <c r="A24" s="3" t="s">
        <v>59</v>
      </c>
      <c r="B24" s="5" t="s">
        <v>60</v>
      </c>
      <c r="C24" s="5" t="s">
        <v>63</v>
      </c>
      <c r="D24" s="4" t="s">
        <v>64</v>
      </c>
      <c r="E24" s="6">
        <v>1</v>
      </c>
      <c r="F24" s="6">
        <v>44800</v>
      </c>
      <c r="G24" s="6">
        <v>44800</v>
      </c>
      <c r="H24" s="6">
        <v>4480</v>
      </c>
      <c r="I24" s="6">
        <v>49280</v>
      </c>
    </row>
    <row r="25" spans="1:9" ht="38.4" hidden="1">
      <c r="A25" s="3" t="s">
        <v>65</v>
      </c>
      <c r="B25" s="5" t="s">
        <v>13</v>
      </c>
      <c r="C25" s="5" t="s">
        <v>66</v>
      </c>
      <c r="D25" s="4" t="s">
        <v>67</v>
      </c>
      <c r="E25" s="6">
        <v>30</v>
      </c>
      <c r="F25" s="6">
        <v>2800</v>
      </c>
      <c r="G25" s="6">
        <v>84000</v>
      </c>
      <c r="H25" s="6">
        <v>8400</v>
      </c>
      <c r="I25" s="6">
        <v>92400</v>
      </c>
    </row>
    <row r="26" spans="1:9" ht="38.4" hidden="1">
      <c r="A26" s="3" t="s">
        <v>65</v>
      </c>
      <c r="B26" s="5" t="s">
        <v>13</v>
      </c>
      <c r="C26" s="5" t="s">
        <v>68</v>
      </c>
      <c r="D26" s="4" t="s">
        <v>69</v>
      </c>
      <c r="E26" s="6">
        <v>30</v>
      </c>
      <c r="F26" s="6">
        <v>2800</v>
      </c>
      <c r="G26" s="6">
        <v>84000</v>
      </c>
      <c r="H26" s="6">
        <v>8400</v>
      </c>
      <c r="I26" s="6">
        <v>92400</v>
      </c>
    </row>
    <row r="27" spans="1:9" ht="38.4" hidden="1">
      <c r="A27" s="3" t="s">
        <v>65</v>
      </c>
      <c r="B27" s="5" t="s">
        <v>13</v>
      </c>
      <c r="C27" s="5" t="s">
        <v>70</v>
      </c>
      <c r="D27" s="4" t="s">
        <v>71</v>
      </c>
      <c r="E27" s="6">
        <v>30</v>
      </c>
      <c r="F27" s="6">
        <v>2800</v>
      </c>
      <c r="G27" s="6">
        <v>84000</v>
      </c>
      <c r="H27" s="6">
        <v>8400</v>
      </c>
      <c r="I27" s="6">
        <v>92400</v>
      </c>
    </row>
    <row r="28" spans="1:9" ht="57.6" hidden="1">
      <c r="A28" s="3" t="s">
        <v>72</v>
      </c>
      <c r="B28" s="5" t="s">
        <v>9</v>
      </c>
      <c r="C28" s="5" t="s">
        <v>49</v>
      </c>
      <c r="D28" s="4" t="s">
        <v>73</v>
      </c>
      <c r="E28" s="6">
        <v>4</v>
      </c>
      <c r="F28" s="6">
        <v>125000</v>
      </c>
      <c r="G28" s="6">
        <v>500000</v>
      </c>
      <c r="H28" s="6">
        <v>50000</v>
      </c>
      <c r="I28" s="6">
        <v>550000</v>
      </c>
    </row>
    <row r="29" spans="1:9" ht="57.6" hidden="1">
      <c r="A29" s="3" t="s">
        <v>74</v>
      </c>
      <c r="B29" s="5" t="s">
        <v>33</v>
      </c>
      <c r="C29" s="5" t="s">
        <v>34</v>
      </c>
      <c r="D29" s="4" t="s">
        <v>35</v>
      </c>
      <c r="E29" s="6">
        <v>2</v>
      </c>
      <c r="F29" s="6">
        <v>30000</v>
      </c>
      <c r="G29" s="6">
        <v>60000</v>
      </c>
      <c r="H29" s="6">
        <v>6000</v>
      </c>
      <c r="I29" s="6">
        <v>66000</v>
      </c>
    </row>
    <row r="30" spans="1:9" ht="115.2">
      <c r="A30" s="3" t="s">
        <v>75</v>
      </c>
      <c r="B30" s="5" t="s">
        <v>17</v>
      </c>
      <c r="C30" s="5" t="s">
        <v>76</v>
      </c>
      <c r="D30" s="4" t="s">
        <v>77</v>
      </c>
      <c r="E30" s="6">
        <v>1</v>
      </c>
      <c r="F30" s="6">
        <v>400000</v>
      </c>
      <c r="G30" s="6">
        <v>400000</v>
      </c>
      <c r="H30" s="6">
        <v>40000</v>
      </c>
      <c r="I30" s="6">
        <v>440000</v>
      </c>
    </row>
    <row r="31" spans="1:9" ht="57.6" hidden="1">
      <c r="A31" s="3" t="s">
        <v>78</v>
      </c>
      <c r="B31" s="5" t="s">
        <v>79</v>
      </c>
      <c r="C31" s="5" t="s">
        <v>61</v>
      </c>
      <c r="D31" s="4" t="s">
        <v>62</v>
      </c>
      <c r="E31" s="6">
        <v>1</v>
      </c>
      <c r="F31" s="6">
        <v>60000</v>
      </c>
      <c r="G31" s="6">
        <v>60000</v>
      </c>
      <c r="H31" s="6">
        <v>6000</v>
      </c>
      <c r="I31" s="6">
        <v>66000</v>
      </c>
    </row>
    <row r="32" spans="1:9" ht="38.4" hidden="1">
      <c r="A32" s="3" t="s">
        <v>80</v>
      </c>
      <c r="B32" s="5" t="s">
        <v>9</v>
      </c>
      <c r="C32" s="5" t="s">
        <v>49</v>
      </c>
      <c r="D32" s="4" t="s">
        <v>50</v>
      </c>
      <c r="E32" s="6">
        <v>3</v>
      </c>
      <c r="F32" s="6">
        <v>12600</v>
      </c>
      <c r="G32" s="6">
        <v>37800</v>
      </c>
      <c r="H32" s="6">
        <v>3780</v>
      </c>
      <c r="I32" s="6">
        <v>41580</v>
      </c>
    </row>
    <row r="33" spans="1:9" ht="38.4" hidden="1">
      <c r="A33" s="3" t="s">
        <v>80</v>
      </c>
      <c r="B33" s="5" t="s">
        <v>9</v>
      </c>
      <c r="C33" s="5" t="s">
        <v>51</v>
      </c>
      <c r="D33" s="4" t="s">
        <v>52</v>
      </c>
      <c r="E33" s="6">
        <v>3</v>
      </c>
      <c r="F33" s="6">
        <v>16000</v>
      </c>
      <c r="G33" s="6">
        <v>48000</v>
      </c>
      <c r="H33" s="6">
        <v>4800</v>
      </c>
      <c r="I33" s="6">
        <v>52800</v>
      </c>
    </row>
    <row r="34" spans="1:9" ht="38.4" hidden="1">
      <c r="A34" s="3" t="s">
        <v>80</v>
      </c>
      <c r="B34" s="5" t="s">
        <v>9</v>
      </c>
      <c r="C34" s="5" t="s">
        <v>53</v>
      </c>
      <c r="D34" s="4" t="s">
        <v>54</v>
      </c>
      <c r="E34" s="6">
        <v>3</v>
      </c>
      <c r="F34" s="6">
        <v>16000</v>
      </c>
      <c r="G34" s="6">
        <v>48000</v>
      </c>
      <c r="H34" s="6">
        <v>4800</v>
      </c>
      <c r="I34" s="6">
        <v>52800</v>
      </c>
    </row>
    <row r="35" spans="1:9" ht="38.4" hidden="1">
      <c r="A35" s="3" t="s">
        <v>80</v>
      </c>
      <c r="B35" s="5" t="s">
        <v>9</v>
      </c>
      <c r="C35" s="5" t="s">
        <v>66</v>
      </c>
      <c r="D35" s="4" t="s">
        <v>67</v>
      </c>
      <c r="E35" s="6">
        <v>10</v>
      </c>
      <c r="F35" s="6">
        <v>2800</v>
      </c>
      <c r="G35" s="6">
        <v>28000</v>
      </c>
      <c r="H35" s="6">
        <v>2800</v>
      </c>
      <c r="I35" s="6">
        <v>30800</v>
      </c>
    </row>
    <row r="36" spans="1:9" ht="38.4" hidden="1">
      <c r="A36" s="3" t="s">
        <v>80</v>
      </c>
      <c r="B36" s="5" t="s">
        <v>9</v>
      </c>
      <c r="C36" s="5" t="s">
        <v>68</v>
      </c>
      <c r="D36" s="4" t="s">
        <v>69</v>
      </c>
      <c r="E36" s="6">
        <v>10</v>
      </c>
      <c r="F36" s="6">
        <v>2800</v>
      </c>
      <c r="G36" s="6">
        <v>28000</v>
      </c>
      <c r="H36" s="6">
        <v>2800</v>
      </c>
      <c r="I36" s="6">
        <v>30800</v>
      </c>
    </row>
    <row r="37" spans="1:9" ht="38.4" hidden="1">
      <c r="A37" s="3" t="s">
        <v>80</v>
      </c>
      <c r="B37" s="5" t="s">
        <v>9</v>
      </c>
      <c r="C37" s="5" t="s">
        <v>70</v>
      </c>
      <c r="D37" s="4" t="s">
        <v>71</v>
      </c>
      <c r="E37" s="6">
        <v>10</v>
      </c>
      <c r="F37" s="6">
        <v>2800</v>
      </c>
      <c r="G37" s="6">
        <v>28000</v>
      </c>
      <c r="H37" s="6">
        <v>2800</v>
      </c>
      <c r="I37" s="6">
        <v>30800</v>
      </c>
    </row>
    <row r="38" spans="1:9" ht="76.8" hidden="1">
      <c r="A38" s="3" t="s">
        <v>81</v>
      </c>
      <c r="B38" s="5" t="s">
        <v>82</v>
      </c>
      <c r="C38" s="5" t="s">
        <v>83</v>
      </c>
      <c r="D38" s="4" t="s">
        <v>84</v>
      </c>
      <c r="E38" s="6">
        <v>5</v>
      </c>
      <c r="F38" s="6">
        <v>16000</v>
      </c>
      <c r="G38" s="6">
        <v>80000</v>
      </c>
      <c r="H38" s="6">
        <v>8000</v>
      </c>
      <c r="I38" s="6">
        <v>88000</v>
      </c>
    </row>
    <row r="39" spans="1:9" ht="115.2" hidden="1">
      <c r="A39" s="3" t="s">
        <v>81</v>
      </c>
      <c r="B39" s="5" t="s">
        <v>82</v>
      </c>
      <c r="C39" s="5" t="s">
        <v>85</v>
      </c>
      <c r="D39" s="4" t="s">
        <v>86</v>
      </c>
      <c r="E39" s="6">
        <v>2</v>
      </c>
      <c r="F39" s="6">
        <v>2800</v>
      </c>
      <c r="G39" s="6">
        <v>5600</v>
      </c>
      <c r="H39" s="6">
        <v>560</v>
      </c>
      <c r="I39" s="6">
        <v>6160</v>
      </c>
    </row>
    <row r="40" spans="1:9" ht="76.8">
      <c r="A40" s="3" t="s">
        <v>87</v>
      </c>
      <c r="B40" s="5" t="s">
        <v>17</v>
      </c>
      <c r="C40" s="5" t="s">
        <v>23</v>
      </c>
      <c r="D40" s="4" t="s">
        <v>24</v>
      </c>
      <c r="E40" s="6">
        <v>6</v>
      </c>
      <c r="F40" s="6">
        <v>59500</v>
      </c>
      <c r="G40" s="6">
        <v>357000</v>
      </c>
      <c r="H40" s="6">
        <v>35700</v>
      </c>
      <c r="I40" s="6">
        <v>392700</v>
      </c>
    </row>
    <row r="41" spans="1:9" ht="76.8">
      <c r="A41" s="3" t="s">
        <v>87</v>
      </c>
      <c r="B41" s="5" t="s">
        <v>17</v>
      </c>
      <c r="C41" s="5" t="s">
        <v>25</v>
      </c>
      <c r="D41" s="4" t="s">
        <v>26</v>
      </c>
      <c r="E41" s="6">
        <v>6</v>
      </c>
      <c r="F41" s="6">
        <v>49000</v>
      </c>
      <c r="G41" s="6">
        <v>294000</v>
      </c>
      <c r="H41" s="6">
        <v>29400</v>
      </c>
      <c r="I41" s="6">
        <v>323400</v>
      </c>
    </row>
    <row r="42" spans="1:9" ht="76.8">
      <c r="A42" s="3" t="s">
        <v>87</v>
      </c>
      <c r="B42" s="5" t="s">
        <v>17</v>
      </c>
      <c r="C42" s="5" t="s">
        <v>30</v>
      </c>
      <c r="D42" s="4" t="s">
        <v>31</v>
      </c>
      <c r="E42" s="6">
        <v>12</v>
      </c>
      <c r="F42" s="6">
        <v>28000</v>
      </c>
      <c r="G42" s="6">
        <v>336000</v>
      </c>
      <c r="H42" s="6">
        <v>33600</v>
      </c>
      <c r="I42" s="6">
        <v>369600</v>
      </c>
    </row>
    <row r="43" spans="1:9" ht="57.6">
      <c r="A43" s="3" t="s">
        <v>87</v>
      </c>
      <c r="B43" s="5" t="s">
        <v>17</v>
      </c>
      <c r="C43" s="5" t="s">
        <v>34</v>
      </c>
      <c r="D43" s="4" t="s">
        <v>35</v>
      </c>
      <c r="E43" s="6">
        <v>12</v>
      </c>
      <c r="F43" s="6">
        <v>30000</v>
      </c>
      <c r="G43" s="6">
        <v>360000</v>
      </c>
      <c r="H43" s="6">
        <v>36000</v>
      </c>
      <c r="I43" s="6">
        <v>396000</v>
      </c>
    </row>
    <row r="44" spans="1:9" ht="76.8">
      <c r="A44" s="3" t="s">
        <v>87</v>
      </c>
      <c r="B44" s="5" t="s">
        <v>17</v>
      </c>
      <c r="C44" s="5" t="s">
        <v>36</v>
      </c>
      <c r="D44" s="4" t="s">
        <v>37</v>
      </c>
      <c r="E44" s="6">
        <v>12</v>
      </c>
      <c r="F44" s="6">
        <v>30000</v>
      </c>
      <c r="G44" s="6">
        <v>360000</v>
      </c>
      <c r="H44" s="6">
        <v>36000</v>
      </c>
      <c r="I44" s="6">
        <v>396000</v>
      </c>
    </row>
    <row r="45" spans="1:9" ht="57.6" hidden="1">
      <c r="A45" s="3" t="s">
        <v>88</v>
      </c>
      <c r="B45" s="5" t="s">
        <v>89</v>
      </c>
      <c r="C45" s="5" t="s">
        <v>90</v>
      </c>
      <c r="D45" s="4" t="s">
        <v>91</v>
      </c>
      <c r="E45" s="6">
        <v>1</v>
      </c>
      <c r="F45" s="6">
        <v>60200</v>
      </c>
      <c r="G45" s="6">
        <v>60200</v>
      </c>
      <c r="H45" s="6">
        <v>6020</v>
      </c>
      <c r="I45" s="6">
        <v>66220</v>
      </c>
    </row>
    <row r="46" spans="1:9" ht="19.2" hidden="1">
      <c r="A46" s="3" t="s">
        <v>92</v>
      </c>
      <c r="B46" s="5" t="s">
        <v>93</v>
      </c>
      <c r="C46" s="5" t="s">
        <v>94</v>
      </c>
      <c r="D46" s="4" t="s">
        <v>95</v>
      </c>
      <c r="E46" s="6">
        <v>1</v>
      </c>
      <c r="F46" s="6">
        <v>14000</v>
      </c>
      <c r="G46" s="6">
        <v>14000</v>
      </c>
      <c r="H46" s="6">
        <v>1400</v>
      </c>
      <c r="I46" s="6">
        <v>15400</v>
      </c>
    </row>
    <row r="47" spans="1:9" ht="38.4" hidden="1">
      <c r="A47" s="3" t="s">
        <v>96</v>
      </c>
      <c r="B47" s="5" t="s">
        <v>93</v>
      </c>
      <c r="C47" s="5" t="s">
        <v>97</v>
      </c>
      <c r="D47" s="4" t="s">
        <v>98</v>
      </c>
      <c r="E47" s="6">
        <v>1</v>
      </c>
      <c r="F47" s="6">
        <v>97500</v>
      </c>
      <c r="G47" s="6">
        <v>97500</v>
      </c>
      <c r="H47" s="6">
        <v>9750</v>
      </c>
      <c r="I47" s="6">
        <v>107250</v>
      </c>
    </row>
    <row r="48" spans="1:9" ht="57.6" hidden="1">
      <c r="A48" s="3" t="s">
        <v>96</v>
      </c>
      <c r="B48" s="5" t="s">
        <v>93</v>
      </c>
      <c r="C48" s="5" t="s">
        <v>99</v>
      </c>
      <c r="D48" s="4" t="s">
        <v>100</v>
      </c>
      <c r="E48" s="6">
        <v>1</v>
      </c>
      <c r="F48" s="6">
        <v>119000</v>
      </c>
      <c r="G48" s="6">
        <v>119000</v>
      </c>
      <c r="H48" s="6">
        <v>11900</v>
      </c>
      <c r="I48" s="6">
        <v>130900</v>
      </c>
    </row>
    <row r="49" spans="1:9" ht="96" hidden="1">
      <c r="A49" s="3" t="s">
        <v>101</v>
      </c>
      <c r="B49" s="5" t="s">
        <v>102</v>
      </c>
      <c r="C49" s="5" t="s">
        <v>56</v>
      </c>
      <c r="D49" s="4" t="s">
        <v>57</v>
      </c>
      <c r="E49" s="6">
        <v>5</v>
      </c>
      <c r="F49" s="6">
        <v>11200</v>
      </c>
      <c r="G49" s="6">
        <v>56000</v>
      </c>
      <c r="H49" s="6">
        <v>5600</v>
      </c>
      <c r="I49" s="6">
        <v>61600</v>
      </c>
    </row>
    <row r="50" spans="1:9" ht="96">
      <c r="A50" s="3" t="s">
        <v>103</v>
      </c>
      <c r="B50" s="5" t="s">
        <v>17</v>
      </c>
      <c r="C50" s="5" t="s">
        <v>56</v>
      </c>
      <c r="D50" s="4" t="s">
        <v>57</v>
      </c>
      <c r="E50" s="6">
        <v>5</v>
      </c>
      <c r="F50" s="6">
        <v>11200</v>
      </c>
      <c r="G50" s="6">
        <v>56000</v>
      </c>
      <c r="H50" s="6">
        <v>5600</v>
      </c>
      <c r="I50" s="6">
        <v>61600</v>
      </c>
    </row>
    <row r="51" spans="1:9" ht="19.2" hidden="1">
      <c r="A51" s="3" t="s">
        <v>104</v>
      </c>
      <c r="B51" s="5" t="s">
        <v>105</v>
      </c>
      <c r="C51" s="5" t="s">
        <v>106</v>
      </c>
      <c r="D51" s="4" t="s">
        <v>107</v>
      </c>
      <c r="E51" s="6">
        <v>1</v>
      </c>
      <c r="F51" s="6">
        <v>30000</v>
      </c>
      <c r="G51" s="6">
        <v>30000</v>
      </c>
      <c r="H51" s="6">
        <v>3000</v>
      </c>
      <c r="I51" s="6">
        <v>33000</v>
      </c>
    </row>
    <row r="52" spans="1:9" ht="57.6" hidden="1">
      <c r="A52" s="3" t="s">
        <v>104</v>
      </c>
      <c r="B52" s="5" t="s">
        <v>105</v>
      </c>
      <c r="C52" s="5" t="s">
        <v>108</v>
      </c>
      <c r="D52" s="4" t="s">
        <v>109</v>
      </c>
      <c r="E52" s="6">
        <v>1</v>
      </c>
      <c r="F52" s="6">
        <v>42000</v>
      </c>
      <c r="G52" s="6">
        <v>42000</v>
      </c>
      <c r="H52" s="6">
        <v>4200</v>
      </c>
      <c r="I52" s="6">
        <v>46200</v>
      </c>
    </row>
    <row r="53" spans="1:9" ht="38.4" hidden="1">
      <c r="A53" s="3" t="s">
        <v>110</v>
      </c>
      <c r="B53" s="5" t="s">
        <v>111</v>
      </c>
      <c r="C53" s="5" t="s">
        <v>112</v>
      </c>
      <c r="D53" s="4" t="s">
        <v>113</v>
      </c>
      <c r="E53" s="6">
        <v>2</v>
      </c>
      <c r="F53" s="6">
        <v>42000</v>
      </c>
      <c r="G53" s="6">
        <v>84000</v>
      </c>
      <c r="H53" s="6">
        <v>8400</v>
      </c>
      <c r="I53" s="6">
        <v>92400</v>
      </c>
    </row>
    <row r="54" spans="1:9" ht="19.2" hidden="1">
      <c r="A54" s="3" t="s">
        <v>114</v>
      </c>
      <c r="B54" s="5" t="s">
        <v>115</v>
      </c>
      <c r="C54" s="5" t="s">
        <v>116</v>
      </c>
      <c r="D54" s="4" t="s">
        <v>117</v>
      </c>
      <c r="E54" s="6">
        <v>1</v>
      </c>
      <c r="F54" s="6">
        <v>4000</v>
      </c>
      <c r="G54" s="6">
        <v>4000</v>
      </c>
      <c r="H54" s="6">
        <v>400</v>
      </c>
      <c r="I54" s="6">
        <v>4400</v>
      </c>
    </row>
    <row r="55" spans="1:9" ht="38.4" hidden="1">
      <c r="A55" s="3" t="s">
        <v>114</v>
      </c>
      <c r="B55" s="5" t="s">
        <v>115</v>
      </c>
      <c r="C55" s="5" t="s">
        <v>118</v>
      </c>
      <c r="D55" s="4" t="s">
        <v>119</v>
      </c>
      <c r="E55" s="6">
        <v>2</v>
      </c>
      <c r="F55" s="6">
        <v>69300</v>
      </c>
      <c r="G55" s="6">
        <v>138600</v>
      </c>
      <c r="H55" s="6">
        <v>13860</v>
      </c>
      <c r="I55" s="6">
        <v>152460</v>
      </c>
    </row>
    <row r="56" spans="1:9" ht="19.2" hidden="1">
      <c r="A56" s="3" t="s">
        <v>120</v>
      </c>
      <c r="B56" s="5" t="s">
        <v>121</v>
      </c>
      <c r="C56" s="5" t="s">
        <v>116</v>
      </c>
      <c r="D56" s="4" t="s">
        <v>117</v>
      </c>
      <c r="E56" s="6">
        <v>1</v>
      </c>
      <c r="F56" s="6">
        <v>4000</v>
      </c>
      <c r="G56" s="6">
        <v>4000</v>
      </c>
      <c r="H56" s="6">
        <v>400</v>
      </c>
      <c r="I56" s="6">
        <v>4400</v>
      </c>
    </row>
    <row r="57" spans="1:9" ht="19.2" hidden="1">
      <c r="A57" s="3" t="s">
        <v>120</v>
      </c>
      <c r="B57" s="5" t="s">
        <v>121</v>
      </c>
      <c r="C57" s="5" t="s">
        <v>122</v>
      </c>
      <c r="D57" s="4" t="s">
        <v>123</v>
      </c>
      <c r="E57" s="6">
        <v>1</v>
      </c>
      <c r="F57" s="6">
        <v>105000</v>
      </c>
      <c r="G57" s="6">
        <v>105000</v>
      </c>
      <c r="H57" s="6">
        <v>10500</v>
      </c>
      <c r="I57" s="6">
        <v>115500</v>
      </c>
    </row>
    <row r="58" spans="1:9" ht="19.2" hidden="1">
      <c r="A58" s="3" t="s">
        <v>120</v>
      </c>
      <c r="B58" s="5" t="s">
        <v>121</v>
      </c>
      <c r="C58" s="5" t="s">
        <v>124</v>
      </c>
      <c r="D58" s="4" t="s">
        <v>125</v>
      </c>
      <c r="E58" s="6">
        <v>1</v>
      </c>
      <c r="F58" s="6">
        <v>56000</v>
      </c>
      <c r="G58" s="6">
        <v>56000</v>
      </c>
      <c r="H58" s="6">
        <v>5600</v>
      </c>
      <c r="I58" s="6">
        <v>61600</v>
      </c>
    </row>
    <row r="59" spans="1:9" ht="38.4" hidden="1">
      <c r="A59" s="3" t="s">
        <v>126</v>
      </c>
      <c r="B59" s="5" t="s">
        <v>127</v>
      </c>
      <c r="C59" s="5" t="s">
        <v>128</v>
      </c>
      <c r="D59" s="4" t="s">
        <v>129</v>
      </c>
      <c r="E59" s="6">
        <v>1</v>
      </c>
      <c r="F59" s="6">
        <v>372300</v>
      </c>
      <c r="G59" s="6">
        <v>372300</v>
      </c>
      <c r="H59" s="6">
        <v>37230</v>
      </c>
      <c r="I59" s="6">
        <v>409530</v>
      </c>
    </row>
    <row r="60" spans="1:9" ht="76.8" hidden="1">
      <c r="A60" s="3" t="s">
        <v>130</v>
      </c>
      <c r="B60" s="5" t="s">
        <v>131</v>
      </c>
      <c r="C60" s="5" t="s">
        <v>132</v>
      </c>
      <c r="D60" s="4" t="s">
        <v>133</v>
      </c>
      <c r="E60" s="6">
        <v>5</v>
      </c>
      <c r="F60" s="6">
        <v>66500</v>
      </c>
      <c r="G60" s="6">
        <v>332500</v>
      </c>
      <c r="H60" s="6">
        <v>33250</v>
      </c>
      <c r="I60" s="6">
        <v>365750</v>
      </c>
    </row>
    <row r="61" spans="1:9" ht="76.8">
      <c r="A61" s="3" t="s">
        <v>134</v>
      </c>
      <c r="B61" s="5" t="s">
        <v>17</v>
      </c>
      <c r="C61" s="5" t="s">
        <v>132</v>
      </c>
      <c r="D61" s="4" t="s">
        <v>133</v>
      </c>
      <c r="E61" s="6">
        <v>5</v>
      </c>
      <c r="F61" s="6">
        <v>66500</v>
      </c>
      <c r="G61" s="6">
        <v>332500</v>
      </c>
      <c r="H61" s="6">
        <v>33250</v>
      </c>
      <c r="I61" s="6">
        <v>365750</v>
      </c>
    </row>
    <row r="62" spans="1:9" ht="19.2" hidden="1">
      <c r="A62" s="3" t="s">
        <v>135</v>
      </c>
      <c r="B62" s="5" t="s">
        <v>127</v>
      </c>
      <c r="C62" s="5" t="s">
        <v>106</v>
      </c>
      <c r="D62" s="4" t="s">
        <v>107</v>
      </c>
      <c r="E62" s="6">
        <v>1</v>
      </c>
      <c r="F62" s="6">
        <v>4000</v>
      </c>
      <c r="G62" s="6">
        <v>4000</v>
      </c>
      <c r="H62" s="6">
        <v>400</v>
      </c>
      <c r="I62" s="6">
        <v>4400</v>
      </c>
    </row>
    <row r="63" spans="1:9" ht="57.6" hidden="1">
      <c r="A63" s="3" t="s">
        <v>135</v>
      </c>
      <c r="B63" s="5" t="s">
        <v>127</v>
      </c>
      <c r="C63" s="5" t="s">
        <v>99</v>
      </c>
      <c r="D63" s="4" t="s">
        <v>100</v>
      </c>
      <c r="E63" s="6">
        <v>1</v>
      </c>
      <c r="F63" s="6">
        <v>119000</v>
      </c>
      <c r="G63" s="6">
        <v>119000</v>
      </c>
      <c r="H63" s="6">
        <v>11900</v>
      </c>
      <c r="I63" s="6">
        <v>130900</v>
      </c>
    </row>
    <row r="64" spans="1:9" ht="38.4" hidden="1">
      <c r="A64" s="3" t="s">
        <v>135</v>
      </c>
      <c r="B64" s="5" t="s">
        <v>127</v>
      </c>
      <c r="C64" s="5" t="s">
        <v>97</v>
      </c>
      <c r="D64" s="4" t="s">
        <v>98</v>
      </c>
      <c r="E64" s="6">
        <v>1</v>
      </c>
      <c r="F64" s="6">
        <v>91000</v>
      </c>
      <c r="G64" s="6">
        <v>91000</v>
      </c>
      <c r="H64" s="6">
        <v>9100</v>
      </c>
      <c r="I64" s="6">
        <v>100100</v>
      </c>
    </row>
    <row r="65" spans="1:9" ht="76.8">
      <c r="A65" s="3" t="s">
        <v>136</v>
      </c>
      <c r="B65" s="5" t="s">
        <v>17</v>
      </c>
      <c r="C65" s="5" t="s">
        <v>137</v>
      </c>
      <c r="D65" s="4" t="s">
        <v>138</v>
      </c>
      <c r="E65" s="6">
        <v>100</v>
      </c>
      <c r="F65" s="6">
        <v>2500</v>
      </c>
      <c r="G65" s="6">
        <v>250000</v>
      </c>
      <c r="H65" s="6">
        <v>25000</v>
      </c>
      <c r="I65" s="6">
        <v>275000</v>
      </c>
    </row>
    <row r="66" spans="1:9" ht="76.8">
      <c r="A66" s="3" t="s">
        <v>136</v>
      </c>
      <c r="B66" s="5" t="s">
        <v>17</v>
      </c>
      <c r="C66" s="5" t="s">
        <v>139</v>
      </c>
      <c r="D66" s="4" t="s">
        <v>140</v>
      </c>
      <c r="E66" s="6">
        <v>100</v>
      </c>
      <c r="F66" s="6">
        <v>2000</v>
      </c>
      <c r="G66" s="6">
        <v>200000</v>
      </c>
      <c r="H66" s="6">
        <v>20000</v>
      </c>
      <c r="I66" s="6">
        <v>220000</v>
      </c>
    </row>
    <row r="67" spans="1:9" ht="76.8">
      <c r="A67" s="3" t="s">
        <v>136</v>
      </c>
      <c r="B67" s="5" t="s">
        <v>17</v>
      </c>
      <c r="C67" s="5" t="s">
        <v>141</v>
      </c>
      <c r="D67" s="4" t="s">
        <v>142</v>
      </c>
      <c r="E67" s="6">
        <v>100</v>
      </c>
      <c r="F67" s="6">
        <v>2000</v>
      </c>
      <c r="G67" s="6">
        <v>200000</v>
      </c>
      <c r="H67" s="6">
        <v>20000</v>
      </c>
      <c r="I67" s="6">
        <v>220000</v>
      </c>
    </row>
    <row r="68" spans="1:9" ht="115.2">
      <c r="A68" s="3" t="s">
        <v>136</v>
      </c>
      <c r="B68" s="5" t="s">
        <v>17</v>
      </c>
      <c r="C68" s="5" t="s">
        <v>143</v>
      </c>
      <c r="D68" s="4" t="s">
        <v>144</v>
      </c>
      <c r="E68" s="6">
        <v>100</v>
      </c>
      <c r="F68" s="6">
        <v>3200</v>
      </c>
      <c r="G68" s="6">
        <v>320000</v>
      </c>
      <c r="H68" s="6">
        <v>32000</v>
      </c>
      <c r="I68" s="6">
        <v>352000</v>
      </c>
    </row>
    <row r="69" spans="1:9" ht="115.2">
      <c r="A69" s="3" t="s">
        <v>136</v>
      </c>
      <c r="B69" s="5" t="s">
        <v>17</v>
      </c>
      <c r="C69" s="5" t="s">
        <v>85</v>
      </c>
      <c r="D69" s="4" t="s">
        <v>86</v>
      </c>
      <c r="E69" s="6">
        <v>100</v>
      </c>
      <c r="F69" s="6">
        <v>2800</v>
      </c>
      <c r="G69" s="6">
        <v>280000</v>
      </c>
      <c r="H69" s="6">
        <v>28000</v>
      </c>
      <c r="I69" s="6">
        <v>308000</v>
      </c>
    </row>
    <row r="70" spans="1:9" ht="134.4">
      <c r="A70" s="3" t="s">
        <v>136</v>
      </c>
      <c r="B70" s="5" t="s">
        <v>17</v>
      </c>
      <c r="C70" s="5" t="s">
        <v>145</v>
      </c>
      <c r="D70" s="4" t="s">
        <v>146</v>
      </c>
      <c r="E70" s="6">
        <v>50</v>
      </c>
      <c r="F70" s="6">
        <v>2800</v>
      </c>
      <c r="G70" s="6">
        <v>140000</v>
      </c>
      <c r="H70" s="6">
        <v>14000</v>
      </c>
      <c r="I70" s="6">
        <v>154000</v>
      </c>
    </row>
    <row r="71" spans="1:9" ht="115.2">
      <c r="A71" s="3" t="s">
        <v>136</v>
      </c>
      <c r="B71" s="5" t="s">
        <v>17</v>
      </c>
      <c r="C71" s="5" t="s">
        <v>147</v>
      </c>
      <c r="D71" s="4" t="s">
        <v>148</v>
      </c>
      <c r="E71" s="6">
        <v>100</v>
      </c>
      <c r="F71" s="6">
        <v>2800</v>
      </c>
      <c r="G71" s="6">
        <v>280000</v>
      </c>
      <c r="H71" s="6">
        <v>28000</v>
      </c>
      <c r="I71" s="6">
        <v>308000</v>
      </c>
    </row>
    <row r="72" spans="1:9" ht="96">
      <c r="A72" s="3" t="s">
        <v>136</v>
      </c>
      <c r="B72" s="5" t="s">
        <v>17</v>
      </c>
      <c r="C72" s="5" t="s">
        <v>149</v>
      </c>
      <c r="D72" s="4" t="s">
        <v>150</v>
      </c>
      <c r="E72" s="6">
        <v>100</v>
      </c>
      <c r="F72" s="6">
        <v>12500</v>
      </c>
      <c r="G72" s="6">
        <v>1250000</v>
      </c>
      <c r="H72" s="6">
        <v>125000</v>
      </c>
      <c r="I72" s="6">
        <v>1375000</v>
      </c>
    </row>
    <row r="73" spans="1:9" ht="96">
      <c r="A73" s="3" t="s">
        <v>136</v>
      </c>
      <c r="B73" s="5" t="s">
        <v>17</v>
      </c>
      <c r="C73" s="5" t="s">
        <v>83</v>
      </c>
      <c r="D73" s="4" t="s">
        <v>151</v>
      </c>
      <c r="E73" s="6">
        <v>100</v>
      </c>
      <c r="F73" s="6">
        <v>16000</v>
      </c>
      <c r="G73" s="6">
        <v>1600000</v>
      </c>
      <c r="H73" s="6">
        <v>160000</v>
      </c>
      <c r="I73" s="6">
        <v>1760000</v>
      </c>
    </row>
    <row r="74" spans="1:9" ht="96">
      <c r="A74" s="3" t="s">
        <v>136</v>
      </c>
      <c r="B74" s="5" t="s">
        <v>17</v>
      </c>
      <c r="C74" s="5" t="s">
        <v>152</v>
      </c>
      <c r="D74" s="4" t="s">
        <v>153</v>
      </c>
      <c r="E74" s="6">
        <v>100</v>
      </c>
      <c r="F74" s="6">
        <v>16000</v>
      </c>
      <c r="G74" s="6">
        <v>1600000</v>
      </c>
      <c r="H74" s="6">
        <v>160000</v>
      </c>
      <c r="I74" s="6">
        <v>1760000</v>
      </c>
    </row>
    <row r="75" spans="1:9" ht="76.8">
      <c r="A75" s="3" t="s">
        <v>136</v>
      </c>
      <c r="B75" s="5" t="s">
        <v>17</v>
      </c>
      <c r="C75" s="5" t="s">
        <v>154</v>
      </c>
      <c r="D75" s="4" t="s">
        <v>155</v>
      </c>
      <c r="E75" s="6">
        <v>20</v>
      </c>
      <c r="F75" s="6">
        <v>60000</v>
      </c>
      <c r="G75" s="6">
        <v>1200000</v>
      </c>
      <c r="H75" s="6">
        <v>120000</v>
      </c>
      <c r="I75" s="6">
        <v>1320000</v>
      </c>
    </row>
    <row r="76" spans="1:9" ht="76.8">
      <c r="A76" s="3" t="s">
        <v>136</v>
      </c>
      <c r="B76" s="5" t="s">
        <v>17</v>
      </c>
      <c r="C76" s="5" t="s">
        <v>156</v>
      </c>
      <c r="D76" s="4" t="s">
        <v>157</v>
      </c>
      <c r="E76" s="6">
        <v>20</v>
      </c>
      <c r="F76" s="6">
        <v>44800</v>
      </c>
      <c r="G76" s="6">
        <v>896000</v>
      </c>
      <c r="H76" s="6">
        <v>89600</v>
      </c>
      <c r="I76" s="6">
        <v>985600</v>
      </c>
    </row>
    <row r="77" spans="1:9" ht="76.8">
      <c r="A77" s="3" t="s">
        <v>136</v>
      </c>
      <c r="B77" s="5" t="s">
        <v>17</v>
      </c>
      <c r="C77" s="5" t="s">
        <v>158</v>
      </c>
      <c r="D77" s="4" t="s">
        <v>159</v>
      </c>
      <c r="E77" s="6">
        <v>12</v>
      </c>
      <c r="F77" s="6">
        <v>59500</v>
      </c>
      <c r="G77" s="6">
        <v>714000</v>
      </c>
      <c r="H77" s="6">
        <v>71400</v>
      </c>
      <c r="I77" s="6">
        <v>785400</v>
      </c>
    </row>
    <row r="78" spans="1:9" ht="76.8">
      <c r="A78" s="3" t="s">
        <v>136</v>
      </c>
      <c r="B78" s="5" t="s">
        <v>17</v>
      </c>
      <c r="C78" s="5" t="s">
        <v>160</v>
      </c>
      <c r="D78" s="4" t="s">
        <v>161</v>
      </c>
      <c r="E78" s="6">
        <v>12</v>
      </c>
      <c r="F78" s="6">
        <v>49000</v>
      </c>
      <c r="G78" s="6">
        <v>588000</v>
      </c>
      <c r="H78" s="6">
        <v>58800</v>
      </c>
      <c r="I78" s="6">
        <v>646800</v>
      </c>
    </row>
    <row r="79" spans="1:9" ht="76.8">
      <c r="A79" s="3" t="s">
        <v>136</v>
      </c>
      <c r="B79" s="5" t="s">
        <v>17</v>
      </c>
      <c r="C79" s="5" t="s">
        <v>162</v>
      </c>
      <c r="D79" s="4" t="s">
        <v>163</v>
      </c>
      <c r="E79" s="6">
        <v>18</v>
      </c>
      <c r="F79" s="6">
        <v>28000</v>
      </c>
      <c r="G79" s="6">
        <v>504000</v>
      </c>
      <c r="H79" s="6">
        <v>50400</v>
      </c>
      <c r="I79" s="6">
        <v>554400</v>
      </c>
    </row>
    <row r="80" spans="1:9" ht="76.8">
      <c r="A80" s="3" t="s">
        <v>136</v>
      </c>
      <c r="B80" s="5" t="s">
        <v>17</v>
      </c>
      <c r="C80" s="5" t="s">
        <v>46</v>
      </c>
      <c r="D80" s="4" t="s">
        <v>47</v>
      </c>
      <c r="E80" s="6">
        <v>18</v>
      </c>
      <c r="F80" s="6">
        <v>30000</v>
      </c>
      <c r="G80" s="6">
        <v>540000</v>
      </c>
      <c r="H80" s="6">
        <v>54000</v>
      </c>
      <c r="I80" s="6">
        <v>594000</v>
      </c>
    </row>
    <row r="81" spans="1:9" ht="76.8">
      <c r="A81" s="3" t="s">
        <v>136</v>
      </c>
      <c r="B81" s="5" t="s">
        <v>17</v>
      </c>
      <c r="C81" s="5" t="s">
        <v>164</v>
      </c>
      <c r="D81" s="4" t="s">
        <v>165</v>
      </c>
      <c r="E81" s="6">
        <v>18</v>
      </c>
      <c r="F81" s="6">
        <v>30000</v>
      </c>
      <c r="G81" s="6">
        <v>540000</v>
      </c>
      <c r="H81" s="6">
        <v>54000</v>
      </c>
      <c r="I81" s="6">
        <v>594000</v>
      </c>
    </row>
    <row r="82" spans="1:9" ht="19.2" hidden="1">
      <c r="A82" s="3" t="s">
        <v>166</v>
      </c>
      <c r="B82" s="5" t="s">
        <v>167</v>
      </c>
      <c r="C82" s="5" t="s">
        <v>116</v>
      </c>
      <c r="D82" s="4" t="s">
        <v>117</v>
      </c>
      <c r="E82" s="6">
        <v>1</v>
      </c>
      <c r="F82" s="6">
        <v>4000</v>
      </c>
      <c r="G82" s="6">
        <v>4000</v>
      </c>
      <c r="H82" s="6">
        <v>400</v>
      </c>
      <c r="I82" s="6">
        <v>4400</v>
      </c>
    </row>
    <row r="83" spans="1:9" ht="76.8" hidden="1">
      <c r="A83" s="3" t="s">
        <v>166</v>
      </c>
      <c r="B83" s="5" t="s">
        <v>167</v>
      </c>
      <c r="C83" s="5" t="s">
        <v>168</v>
      </c>
      <c r="D83" s="4" t="s">
        <v>169</v>
      </c>
      <c r="E83" s="6">
        <v>1</v>
      </c>
      <c r="F83" s="6">
        <v>144500</v>
      </c>
      <c r="G83" s="6">
        <v>144500</v>
      </c>
      <c r="H83" s="6">
        <v>14450</v>
      </c>
      <c r="I83" s="6">
        <v>158950</v>
      </c>
    </row>
    <row r="84" spans="1:9" ht="19.2" hidden="1">
      <c r="A84" s="9" t="s">
        <v>170</v>
      </c>
      <c r="B84" s="10"/>
      <c r="C84" s="10"/>
      <c r="D84" s="10"/>
      <c r="E84" s="7">
        <v>1735</v>
      </c>
      <c r="F84" s="7">
        <v>13451000</v>
      </c>
      <c r="G84" s="7">
        <v>36181800</v>
      </c>
      <c r="H84" s="7">
        <v>3618180</v>
      </c>
      <c r="I84" s="7">
        <v>39799980</v>
      </c>
    </row>
    <row r="85" spans="1:9" ht="14.4" hidden="1">
      <c r="A85" s="8" t="s">
        <v>171</v>
      </c>
    </row>
    <row r="86" spans="1:9" ht="14.4"/>
  </sheetData>
  <autoFilter ref="A1:I85" xr:uid="{00000000-0001-0000-0000-000000000000}">
    <filterColumn colId="1">
      <filters>
        <filter val="선매입"/>
      </filters>
    </filterColumn>
  </autoFilter>
  <mergeCells count="1">
    <mergeCell ref="A84:D8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1B7B-97AF-496C-A068-38FB5C77ECE0}">
  <dimension ref="A1:I32"/>
  <sheetViews>
    <sheetView tabSelected="1" workbookViewId="0">
      <selection activeCell="M27" sqref="M27"/>
    </sheetView>
  </sheetViews>
  <sheetFormatPr defaultRowHeight="14.4"/>
  <cols>
    <col min="1" max="9" width="21.44140625" customWidth="1"/>
  </cols>
  <sheetData>
    <row r="1" spans="1:9" ht="38.4">
      <c r="A1" s="1" t="s">
        <v>0</v>
      </c>
      <c r="B1" s="11" t="s">
        <v>172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9.8" customHeight="1">
      <c r="A2" s="3" t="s">
        <v>16</v>
      </c>
      <c r="B2" s="5" t="s">
        <v>17</v>
      </c>
      <c r="C2" s="5" t="s">
        <v>14</v>
      </c>
      <c r="D2" s="4" t="s">
        <v>15</v>
      </c>
      <c r="E2" s="6">
        <v>25</v>
      </c>
      <c r="F2" s="6">
        <v>28000</v>
      </c>
      <c r="G2" s="6">
        <v>700000</v>
      </c>
      <c r="H2" s="6">
        <v>70000</v>
      </c>
      <c r="I2" s="6">
        <v>770000</v>
      </c>
    </row>
    <row r="3" spans="1:9" ht="49.8" customHeight="1">
      <c r="A3" s="3" t="s">
        <v>18</v>
      </c>
      <c r="B3" s="5" t="s">
        <v>17</v>
      </c>
      <c r="C3" s="5" t="s">
        <v>19</v>
      </c>
      <c r="D3" s="4" t="s">
        <v>20</v>
      </c>
      <c r="E3" s="6">
        <v>100</v>
      </c>
      <c r="F3" s="6">
        <v>24000</v>
      </c>
      <c r="G3" s="6">
        <v>2400000</v>
      </c>
      <c r="H3" s="6">
        <v>240000</v>
      </c>
      <c r="I3" s="6">
        <v>2640000</v>
      </c>
    </row>
    <row r="4" spans="1:9" ht="49.8" customHeight="1">
      <c r="A4" s="3" t="s">
        <v>42</v>
      </c>
      <c r="B4" s="5" t="s">
        <v>17</v>
      </c>
      <c r="C4" s="5" t="s">
        <v>10</v>
      </c>
      <c r="D4" s="4" t="s">
        <v>11</v>
      </c>
      <c r="E4" s="6">
        <v>30</v>
      </c>
      <c r="F4" s="6">
        <v>24000</v>
      </c>
      <c r="G4" s="6">
        <v>720000</v>
      </c>
      <c r="H4" s="6">
        <v>72000</v>
      </c>
      <c r="I4" s="6">
        <v>792000</v>
      </c>
    </row>
    <row r="5" spans="1:9" ht="49.8" customHeight="1">
      <c r="A5" s="3" t="s">
        <v>45</v>
      </c>
      <c r="B5" s="5" t="s">
        <v>17</v>
      </c>
      <c r="C5" s="5" t="s">
        <v>46</v>
      </c>
      <c r="D5" s="4" t="s">
        <v>47</v>
      </c>
      <c r="E5" s="6">
        <v>12</v>
      </c>
      <c r="F5" s="6">
        <v>30000</v>
      </c>
      <c r="G5" s="6">
        <v>360000</v>
      </c>
      <c r="H5" s="6">
        <v>36000</v>
      </c>
      <c r="I5" s="6">
        <v>396000</v>
      </c>
    </row>
    <row r="6" spans="1:9" ht="49.8" customHeight="1">
      <c r="A6" s="3" t="s">
        <v>58</v>
      </c>
      <c r="B6" s="5" t="s">
        <v>17</v>
      </c>
      <c r="C6" s="5" t="s">
        <v>56</v>
      </c>
      <c r="D6" s="4" t="s">
        <v>57</v>
      </c>
      <c r="E6" s="6">
        <v>10</v>
      </c>
      <c r="F6" s="6">
        <v>11200</v>
      </c>
      <c r="G6" s="6">
        <v>112000</v>
      </c>
      <c r="H6" s="6">
        <v>11200</v>
      </c>
      <c r="I6" s="6">
        <v>123200</v>
      </c>
    </row>
    <row r="7" spans="1:9" ht="49.8" customHeight="1">
      <c r="A7" s="3" t="s">
        <v>75</v>
      </c>
      <c r="B7" s="5" t="s">
        <v>17</v>
      </c>
      <c r="C7" s="5" t="s">
        <v>76</v>
      </c>
      <c r="D7" s="4" t="s">
        <v>77</v>
      </c>
      <c r="E7" s="6">
        <v>1</v>
      </c>
      <c r="F7" s="6">
        <v>400000</v>
      </c>
      <c r="G7" s="6">
        <v>400000</v>
      </c>
      <c r="H7" s="6">
        <v>40000</v>
      </c>
      <c r="I7" s="6">
        <v>440000</v>
      </c>
    </row>
    <row r="8" spans="1:9" ht="49.8" customHeight="1">
      <c r="A8" s="3" t="s">
        <v>87</v>
      </c>
      <c r="B8" s="5" t="s">
        <v>17</v>
      </c>
      <c r="C8" s="5" t="s">
        <v>23</v>
      </c>
      <c r="D8" s="4" t="s">
        <v>24</v>
      </c>
      <c r="E8" s="6">
        <v>6</v>
      </c>
      <c r="F8" s="6">
        <v>59500</v>
      </c>
      <c r="G8" s="6">
        <v>357000</v>
      </c>
      <c r="H8" s="6">
        <v>35700</v>
      </c>
      <c r="I8" s="6">
        <v>392700</v>
      </c>
    </row>
    <row r="9" spans="1:9" ht="49.8" customHeight="1">
      <c r="A9" s="3" t="s">
        <v>87</v>
      </c>
      <c r="B9" s="5" t="s">
        <v>17</v>
      </c>
      <c r="C9" s="5" t="s">
        <v>25</v>
      </c>
      <c r="D9" s="4" t="s">
        <v>26</v>
      </c>
      <c r="E9" s="6">
        <v>6</v>
      </c>
      <c r="F9" s="6">
        <v>49000</v>
      </c>
      <c r="G9" s="6">
        <v>294000</v>
      </c>
      <c r="H9" s="6">
        <v>29400</v>
      </c>
      <c r="I9" s="6">
        <v>323400</v>
      </c>
    </row>
    <row r="10" spans="1:9" ht="49.8" customHeight="1">
      <c r="A10" s="3" t="s">
        <v>87</v>
      </c>
      <c r="B10" s="5" t="s">
        <v>17</v>
      </c>
      <c r="C10" s="5" t="s">
        <v>30</v>
      </c>
      <c r="D10" s="4" t="s">
        <v>31</v>
      </c>
      <c r="E10" s="6">
        <v>12</v>
      </c>
      <c r="F10" s="6">
        <v>28000</v>
      </c>
      <c r="G10" s="6">
        <v>336000</v>
      </c>
      <c r="H10" s="6">
        <v>33600</v>
      </c>
      <c r="I10" s="6">
        <v>369600</v>
      </c>
    </row>
    <row r="11" spans="1:9" ht="49.8" customHeight="1">
      <c r="A11" s="3" t="s">
        <v>87</v>
      </c>
      <c r="B11" s="5" t="s">
        <v>17</v>
      </c>
      <c r="C11" s="5" t="s">
        <v>34</v>
      </c>
      <c r="D11" s="4" t="s">
        <v>35</v>
      </c>
      <c r="E11" s="6">
        <v>12</v>
      </c>
      <c r="F11" s="6">
        <v>30000</v>
      </c>
      <c r="G11" s="6">
        <v>360000</v>
      </c>
      <c r="H11" s="6">
        <v>36000</v>
      </c>
      <c r="I11" s="6">
        <v>396000</v>
      </c>
    </row>
    <row r="12" spans="1:9" ht="49.8" customHeight="1">
      <c r="A12" s="3" t="s">
        <v>87</v>
      </c>
      <c r="B12" s="5" t="s">
        <v>17</v>
      </c>
      <c r="C12" s="5" t="s">
        <v>36</v>
      </c>
      <c r="D12" s="4" t="s">
        <v>37</v>
      </c>
      <c r="E12" s="6">
        <v>12</v>
      </c>
      <c r="F12" s="6">
        <v>30000</v>
      </c>
      <c r="G12" s="6">
        <v>360000</v>
      </c>
      <c r="H12" s="6">
        <v>36000</v>
      </c>
      <c r="I12" s="6">
        <v>396000</v>
      </c>
    </row>
    <row r="13" spans="1:9" ht="49.8" customHeight="1">
      <c r="A13" s="3" t="s">
        <v>103</v>
      </c>
      <c r="B13" s="5" t="s">
        <v>17</v>
      </c>
      <c r="C13" s="5" t="s">
        <v>56</v>
      </c>
      <c r="D13" s="4" t="s">
        <v>57</v>
      </c>
      <c r="E13" s="6">
        <v>5</v>
      </c>
      <c r="F13" s="6">
        <v>11200</v>
      </c>
      <c r="G13" s="6">
        <v>56000</v>
      </c>
      <c r="H13" s="6">
        <v>5600</v>
      </c>
      <c r="I13" s="6">
        <v>61600</v>
      </c>
    </row>
    <row r="14" spans="1:9" ht="49.8" customHeight="1">
      <c r="A14" s="3" t="s">
        <v>134</v>
      </c>
      <c r="B14" s="5" t="s">
        <v>17</v>
      </c>
      <c r="C14" s="5" t="s">
        <v>132</v>
      </c>
      <c r="D14" s="4" t="s">
        <v>133</v>
      </c>
      <c r="E14" s="6">
        <v>5</v>
      </c>
      <c r="F14" s="6">
        <v>66500</v>
      </c>
      <c r="G14" s="6">
        <v>332500</v>
      </c>
      <c r="H14" s="6">
        <v>33250</v>
      </c>
      <c r="I14" s="6">
        <v>365750</v>
      </c>
    </row>
    <row r="15" spans="1:9" ht="49.8" customHeight="1">
      <c r="A15" s="3" t="s">
        <v>136</v>
      </c>
      <c r="B15" s="5" t="s">
        <v>17</v>
      </c>
      <c r="C15" s="5" t="s">
        <v>137</v>
      </c>
      <c r="D15" s="4" t="s">
        <v>138</v>
      </c>
      <c r="E15" s="6">
        <v>100</v>
      </c>
      <c r="F15" s="6">
        <v>2500</v>
      </c>
      <c r="G15" s="6">
        <v>250000</v>
      </c>
      <c r="H15" s="6">
        <v>25000</v>
      </c>
      <c r="I15" s="6">
        <v>275000</v>
      </c>
    </row>
    <row r="16" spans="1:9" ht="49.8" customHeight="1">
      <c r="A16" s="3" t="s">
        <v>136</v>
      </c>
      <c r="B16" s="5" t="s">
        <v>17</v>
      </c>
      <c r="C16" s="5" t="s">
        <v>139</v>
      </c>
      <c r="D16" s="4" t="s">
        <v>140</v>
      </c>
      <c r="E16" s="6">
        <v>100</v>
      </c>
      <c r="F16" s="6">
        <v>2000</v>
      </c>
      <c r="G16" s="6">
        <v>200000</v>
      </c>
      <c r="H16" s="6">
        <v>20000</v>
      </c>
      <c r="I16" s="6">
        <v>220000</v>
      </c>
    </row>
    <row r="17" spans="1:9" ht="49.8" customHeight="1">
      <c r="A17" s="3" t="s">
        <v>136</v>
      </c>
      <c r="B17" s="5" t="s">
        <v>17</v>
      </c>
      <c r="C17" s="5" t="s">
        <v>141</v>
      </c>
      <c r="D17" s="4" t="s">
        <v>142</v>
      </c>
      <c r="E17" s="6">
        <v>100</v>
      </c>
      <c r="F17" s="6">
        <v>2000</v>
      </c>
      <c r="G17" s="6">
        <v>200000</v>
      </c>
      <c r="H17" s="6">
        <v>20000</v>
      </c>
      <c r="I17" s="6">
        <v>220000</v>
      </c>
    </row>
    <row r="18" spans="1:9" ht="49.8" customHeight="1">
      <c r="A18" s="3" t="s">
        <v>136</v>
      </c>
      <c r="B18" s="5" t="s">
        <v>17</v>
      </c>
      <c r="C18" s="5" t="s">
        <v>143</v>
      </c>
      <c r="D18" s="4" t="s">
        <v>144</v>
      </c>
      <c r="E18" s="6">
        <v>100</v>
      </c>
      <c r="F18" s="6">
        <v>3200</v>
      </c>
      <c r="G18" s="6">
        <v>320000</v>
      </c>
      <c r="H18" s="6">
        <v>32000</v>
      </c>
      <c r="I18" s="6">
        <v>352000</v>
      </c>
    </row>
    <row r="19" spans="1:9" ht="49.8" customHeight="1">
      <c r="A19" s="3" t="s">
        <v>136</v>
      </c>
      <c r="B19" s="5" t="s">
        <v>17</v>
      </c>
      <c r="C19" s="5" t="s">
        <v>85</v>
      </c>
      <c r="D19" s="4" t="s">
        <v>86</v>
      </c>
      <c r="E19" s="6">
        <v>100</v>
      </c>
      <c r="F19" s="6">
        <v>2800</v>
      </c>
      <c r="G19" s="6">
        <v>280000</v>
      </c>
      <c r="H19" s="6">
        <v>28000</v>
      </c>
      <c r="I19" s="6">
        <v>308000</v>
      </c>
    </row>
    <row r="20" spans="1:9" ht="49.8" customHeight="1">
      <c r="A20" s="3" t="s">
        <v>136</v>
      </c>
      <c r="B20" s="5" t="s">
        <v>17</v>
      </c>
      <c r="C20" s="5" t="s">
        <v>145</v>
      </c>
      <c r="D20" s="4" t="s">
        <v>146</v>
      </c>
      <c r="E20" s="6">
        <v>50</v>
      </c>
      <c r="F20" s="6">
        <v>2800</v>
      </c>
      <c r="G20" s="6">
        <v>140000</v>
      </c>
      <c r="H20" s="6">
        <v>14000</v>
      </c>
      <c r="I20" s="6">
        <v>154000</v>
      </c>
    </row>
    <row r="21" spans="1:9" ht="49.8" customHeight="1">
      <c r="A21" s="3" t="s">
        <v>136</v>
      </c>
      <c r="B21" s="5" t="s">
        <v>17</v>
      </c>
      <c r="C21" s="5" t="s">
        <v>147</v>
      </c>
      <c r="D21" s="4" t="s">
        <v>148</v>
      </c>
      <c r="E21" s="6">
        <v>100</v>
      </c>
      <c r="F21" s="6">
        <v>2800</v>
      </c>
      <c r="G21" s="6">
        <v>280000</v>
      </c>
      <c r="H21" s="6">
        <v>28000</v>
      </c>
      <c r="I21" s="6">
        <v>308000</v>
      </c>
    </row>
    <row r="22" spans="1:9" ht="49.8" customHeight="1">
      <c r="A22" s="3" t="s">
        <v>136</v>
      </c>
      <c r="B22" s="5" t="s">
        <v>17</v>
      </c>
      <c r="C22" s="5" t="s">
        <v>149</v>
      </c>
      <c r="D22" s="4" t="s">
        <v>150</v>
      </c>
      <c r="E22" s="6">
        <v>100</v>
      </c>
      <c r="F22" s="6">
        <v>12500</v>
      </c>
      <c r="G22" s="6">
        <v>1250000</v>
      </c>
      <c r="H22" s="6">
        <v>125000</v>
      </c>
      <c r="I22" s="6">
        <v>1375000</v>
      </c>
    </row>
    <row r="23" spans="1:9" ht="49.8" customHeight="1">
      <c r="A23" s="3" t="s">
        <v>136</v>
      </c>
      <c r="B23" s="5" t="s">
        <v>17</v>
      </c>
      <c r="C23" s="5" t="s">
        <v>83</v>
      </c>
      <c r="D23" s="4" t="s">
        <v>151</v>
      </c>
      <c r="E23" s="6">
        <v>100</v>
      </c>
      <c r="F23" s="6">
        <v>16000</v>
      </c>
      <c r="G23" s="6">
        <v>1600000</v>
      </c>
      <c r="H23" s="6">
        <v>160000</v>
      </c>
      <c r="I23" s="6">
        <v>1760000</v>
      </c>
    </row>
    <row r="24" spans="1:9" ht="49.8" customHeight="1">
      <c r="A24" s="3" t="s">
        <v>136</v>
      </c>
      <c r="B24" s="5" t="s">
        <v>17</v>
      </c>
      <c r="C24" s="5" t="s">
        <v>152</v>
      </c>
      <c r="D24" s="4" t="s">
        <v>153</v>
      </c>
      <c r="E24" s="6">
        <v>100</v>
      </c>
      <c r="F24" s="6">
        <v>16000</v>
      </c>
      <c r="G24" s="6">
        <v>1600000</v>
      </c>
      <c r="H24" s="6">
        <v>160000</v>
      </c>
      <c r="I24" s="6">
        <v>1760000</v>
      </c>
    </row>
    <row r="25" spans="1:9" ht="49.8" customHeight="1">
      <c r="A25" s="3" t="s">
        <v>136</v>
      </c>
      <c r="B25" s="5" t="s">
        <v>17</v>
      </c>
      <c r="C25" s="5" t="s">
        <v>154</v>
      </c>
      <c r="D25" s="4" t="s">
        <v>155</v>
      </c>
      <c r="E25" s="6">
        <v>20</v>
      </c>
      <c r="F25" s="6">
        <v>60000</v>
      </c>
      <c r="G25" s="6">
        <v>1200000</v>
      </c>
      <c r="H25" s="6">
        <v>120000</v>
      </c>
      <c r="I25" s="6">
        <v>1320000</v>
      </c>
    </row>
    <row r="26" spans="1:9" ht="49.8" customHeight="1">
      <c r="A26" s="3" t="s">
        <v>136</v>
      </c>
      <c r="B26" s="5" t="s">
        <v>17</v>
      </c>
      <c r="C26" s="5" t="s">
        <v>156</v>
      </c>
      <c r="D26" s="4" t="s">
        <v>157</v>
      </c>
      <c r="E26" s="6">
        <v>20</v>
      </c>
      <c r="F26" s="6">
        <v>44800</v>
      </c>
      <c r="G26" s="6">
        <v>896000</v>
      </c>
      <c r="H26" s="6">
        <v>89600</v>
      </c>
      <c r="I26" s="6">
        <v>985600</v>
      </c>
    </row>
    <row r="27" spans="1:9" ht="49.8" customHeight="1">
      <c r="A27" s="3" t="s">
        <v>136</v>
      </c>
      <c r="B27" s="5" t="s">
        <v>17</v>
      </c>
      <c r="C27" s="5" t="s">
        <v>158</v>
      </c>
      <c r="D27" s="4" t="s">
        <v>159</v>
      </c>
      <c r="E27" s="6">
        <v>12</v>
      </c>
      <c r="F27" s="6">
        <v>59500</v>
      </c>
      <c r="G27" s="6">
        <v>714000</v>
      </c>
      <c r="H27" s="6">
        <v>71400</v>
      </c>
      <c r="I27" s="6">
        <v>785400</v>
      </c>
    </row>
    <row r="28" spans="1:9" ht="49.8" customHeight="1">
      <c r="A28" s="3" t="s">
        <v>136</v>
      </c>
      <c r="B28" s="5" t="s">
        <v>17</v>
      </c>
      <c r="C28" s="5" t="s">
        <v>160</v>
      </c>
      <c r="D28" s="4" t="s">
        <v>161</v>
      </c>
      <c r="E28" s="6">
        <v>12</v>
      </c>
      <c r="F28" s="6">
        <v>49000</v>
      </c>
      <c r="G28" s="6">
        <v>588000</v>
      </c>
      <c r="H28" s="6">
        <v>58800</v>
      </c>
      <c r="I28" s="6">
        <v>646800</v>
      </c>
    </row>
    <row r="29" spans="1:9" ht="49.8" customHeight="1">
      <c r="A29" s="3" t="s">
        <v>136</v>
      </c>
      <c r="B29" s="5" t="s">
        <v>17</v>
      </c>
      <c r="C29" s="5" t="s">
        <v>162</v>
      </c>
      <c r="D29" s="4" t="s">
        <v>163</v>
      </c>
      <c r="E29" s="6">
        <v>18</v>
      </c>
      <c r="F29" s="6">
        <v>28000</v>
      </c>
      <c r="G29" s="6">
        <v>504000</v>
      </c>
      <c r="H29" s="6">
        <v>50400</v>
      </c>
      <c r="I29" s="6">
        <v>554400</v>
      </c>
    </row>
    <row r="30" spans="1:9" ht="49.8" customHeight="1">
      <c r="A30" s="3" t="s">
        <v>136</v>
      </c>
      <c r="B30" s="5" t="s">
        <v>17</v>
      </c>
      <c r="C30" s="5" t="s">
        <v>46</v>
      </c>
      <c r="D30" s="4" t="s">
        <v>47</v>
      </c>
      <c r="E30" s="6">
        <v>18</v>
      </c>
      <c r="F30" s="6">
        <v>30000</v>
      </c>
      <c r="G30" s="6">
        <v>540000</v>
      </c>
      <c r="H30" s="6">
        <v>54000</v>
      </c>
      <c r="I30" s="6">
        <v>594000</v>
      </c>
    </row>
    <row r="31" spans="1:9" ht="49.8" customHeight="1">
      <c r="A31" s="3" t="s">
        <v>136</v>
      </c>
      <c r="B31" s="5" t="s">
        <v>17</v>
      </c>
      <c r="C31" s="5" t="s">
        <v>164</v>
      </c>
      <c r="D31" s="4" t="s">
        <v>165</v>
      </c>
      <c r="E31" s="6">
        <v>18</v>
      </c>
      <c r="F31" s="6">
        <v>30000</v>
      </c>
      <c r="G31" s="6">
        <v>540000</v>
      </c>
      <c r="H31" s="6">
        <v>54000</v>
      </c>
      <c r="I31" s="6">
        <v>594000</v>
      </c>
    </row>
    <row r="32" spans="1:9" ht="26.4" customHeight="1">
      <c r="A32" s="14" t="s">
        <v>173</v>
      </c>
      <c r="B32" s="13"/>
      <c r="C32" s="13"/>
      <c r="D32" s="13"/>
      <c r="E32" s="13"/>
      <c r="F32" s="13"/>
      <c r="G32" s="12">
        <f>SUM(G2:G31)</f>
        <v>17889500</v>
      </c>
      <c r="H32" s="12">
        <f t="shared" ref="H32:I32" si="0">SUM(H2:H31)</f>
        <v>1788950</v>
      </c>
      <c r="I32" s="12">
        <f t="shared" si="0"/>
        <v>19678450</v>
      </c>
    </row>
  </sheetData>
  <mergeCells count="1">
    <mergeCell ref="A32:F3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구매현황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2026-08-07T05:18:42Z</dcterms:created>
  <dcterms:modified xsi:type="dcterms:W3CDTF">2026-08-07T05:18:42Z</dcterms:modified>
</cp:coreProperties>
</file>