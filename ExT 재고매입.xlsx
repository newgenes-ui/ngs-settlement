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GS결산\"/>
    </mc:Choice>
  </mc:AlternateContent>
  <xr:revisionPtr revIDLastSave="0" documentId="8_{375E567A-252C-4667-8EC6-17BB477FD56F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구매전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B5" i="1" s="1"/>
  <c r="F20" i="1"/>
  <c r="C20" i="1"/>
</calcChain>
</file>

<file path=xl/sharedStrings.xml><?xml version="1.0" encoding="utf-8"?>
<sst xmlns="http://schemas.openxmlformats.org/spreadsheetml/2006/main" count="38" uniqueCount="25">
  <si>
    <t>구매전표</t>
  </si>
  <si>
    <t>전표번호 : 20251230-1</t>
  </si>
  <si>
    <t>수신-거래처 : 나노엔텍</t>
  </si>
  <si>
    <t>입고창고 : 나노엔텍</t>
  </si>
  <si>
    <t>일자</t>
  </si>
  <si>
    <t>품목명[규격명]</t>
  </si>
  <si>
    <t>단가</t>
  </si>
  <si>
    <t>공급가액</t>
  </si>
  <si>
    <t>부가세</t>
  </si>
  <si>
    <t>12/30</t>
  </si>
  <si>
    <t>ExTransfection, Transfection System starter pack (pipette, Station, 10ul, 100ul tips 192reaction) [set]</t>
  </si>
  <si>
    <t>ExTransfection Starter pack (Device,Pipette,Station, 10ul, 100ul tips[96x2reaction) [set]</t>
  </si>
  <si>
    <t>ExTransfection 10 ul kit (25 x 2 reactions) [kit]</t>
  </si>
  <si>
    <t>ExTransfection 100 ul kit (25 x 2 reactions) [kit]</t>
  </si>
  <si>
    <t>ExTransfection 10 ul kit (96 x 2 reactions) [kit]</t>
  </si>
  <si>
    <t>ExTransfection 100 ul kit (96 x 2 reactions) [kit]</t>
  </si>
  <si>
    <t>수량</t>
    <phoneticPr fontId="3" type="noConversion"/>
  </si>
  <si>
    <t>ExTransfection 10 ul kit (96 x 2 reactions)</t>
  </si>
  <si>
    <r>
      <rPr>
        <b/>
        <sz val="11"/>
        <rFont val="맑은 고딕"/>
        <family val="3"/>
        <charset val="129"/>
      </rPr>
      <t>금액</t>
    </r>
    <r>
      <rPr>
        <b/>
        <sz val="11"/>
        <rFont val="Arial"/>
        <family val="2"/>
      </rPr>
      <t xml:space="preserve"> : </t>
    </r>
    <phoneticPr fontId="3" type="noConversion"/>
  </si>
  <si>
    <r>
      <rPr>
        <sz val="10"/>
        <rFont val="맑은 고딕"/>
        <family val="2"/>
      </rPr>
      <t>총합계</t>
    </r>
    <phoneticPr fontId="3" type="noConversion"/>
  </si>
  <si>
    <r>
      <t xml:space="preserve">ExTransfection 10 μL Kit (25 × 2 reactions) [kit] </t>
    </r>
    <r>
      <rPr>
        <b/>
        <sz val="10"/>
        <rFont val="Arial"/>
        <family val="2"/>
      </rPr>
      <t>(</t>
    </r>
    <r>
      <rPr>
        <b/>
        <sz val="10"/>
        <rFont val="맑은 고딕"/>
        <family val="2"/>
        <charset val="129"/>
      </rPr>
      <t>지원)</t>
    </r>
    <phoneticPr fontId="3" type="noConversion"/>
  </si>
  <si>
    <r>
      <t xml:space="preserve">ExTransfection 100 μL Kit (25 × 2 reactions) [kit] </t>
    </r>
    <r>
      <rPr>
        <b/>
        <sz val="10"/>
        <rFont val="Arial"/>
        <family val="2"/>
      </rPr>
      <t>(</t>
    </r>
    <r>
      <rPr>
        <b/>
        <sz val="10"/>
        <rFont val="맑은 고딕"/>
        <family val="2"/>
        <charset val="129"/>
      </rPr>
      <t>지원)</t>
    </r>
    <phoneticPr fontId="3" type="noConversion"/>
  </si>
  <si>
    <t>ExTransfection 100 ul kit (96 x 2 reactions)</t>
    <phoneticPr fontId="3" type="noConversion"/>
  </si>
  <si>
    <r>
      <t xml:space="preserve">ExTransfection 100 μL Kit (96 × 2 reactions) [kit] </t>
    </r>
    <r>
      <rPr>
        <b/>
        <sz val="10"/>
        <rFont val="Arial"/>
        <family val="2"/>
      </rPr>
      <t>(</t>
    </r>
    <r>
      <rPr>
        <b/>
        <sz val="10"/>
        <rFont val="맑은 고딕"/>
        <family val="2"/>
        <charset val="129"/>
      </rPr>
      <t>지원</t>
    </r>
    <r>
      <rPr>
        <b/>
        <sz val="10"/>
        <rFont val="Arial"/>
        <family val="2"/>
      </rPr>
      <t>)</t>
    </r>
    <phoneticPr fontId="3" type="noConversion"/>
  </si>
  <si>
    <r>
      <t xml:space="preserve">ExTransfection 10 μL Kit (96 × 2 reactions) [kit] </t>
    </r>
    <r>
      <rPr>
        <b/>
        <sz val="10"/>
        <rFont val="Arial"/>
        <family val="2"/>
      </rPr>
      <t>(</t>
    </r>
    <r>
      <rPr>
        <b/>
        <sz val="10"/>
        <rFont val="맑은 고딕"/>
        <family val="2"/>
        <charset val="129"/>
      </rPr>
      <t>지원)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</si>
</sst>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0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Arial"/>
      <family val="3"/>
      <charset val="129"/>
    </font>
    <font>
      <sz val="10"/>
      <name val="맑은 고딕"/>
      <family val="2"/>
    </font>
    <font>
      <b/>
      <sz val="10"/>
      <name val="Arial"/>
      <family val="2"/>
    </font>
    <font>
      <b/>
      <sz val="10"/>
      <name val="맑은 고딕"/>
      <family val="2"/>
      <charset val="129"/>
    </font>
    <font>
      <b/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176" fontId="9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/>
    </xf>
    <xf numFmtId="176" fontId="0" fillId="0" borderId="3" xfId="0" applyNumberFormat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176" fontId="0" fillId="0" borderId="3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17" sqref="J17"/>
    </sheetView>
  </sheetViews>
  <sheetFormatPr defaultRowHeight="17.399999999999999" x14ac:dyDescent="0.4"/>
  <cols>
    <col min="1" max="1" width="10.59765625" customWidth="1" collapsed="1"/>
    <col min="2" max="2" width="50" customWidth="1" collapsed="1"/>
    <col min="3" max="3" width="7.8984375" customWidth="1" collapsed="1"/>
    <col min="4" max="6" width="14.8984375" customWidth="1" collapsed="1"/>
  </cols>
  <sheetData>
    <row r="1" spans="1:6" x14ac:dyDescent="0.4">
      <c r="A1" s="1" t="s">
        <v>0</v>
      </c>
    </row>
    <row r="2" spans="1:6" x14ac:dyDescent="0.4">
      <c r="A2" s="1" t="s">
        <v>1</v>
      </c>
    </row>
    <row r="3" spans="1:6" x14ac:dyDescent="0.4">
      <c r="A3" s="1" t="s">
        <v>2</v>
      </c>
    </row>
    <row r="4" spans="1:6" x14ac:dyDescent="0.4">
      <c r="A4" s="1" t="s">
        <v>3</v>
      </c>
    </row>
    <row r="5" spans="1:6" x14ac:dyDescent="0.4">
      <c r="A5" s="12" t="s">
        <v>18</v>
      </c>
      <c r="B5" s="14">
        <f>E20+F20</f>
        <v>618832500</v>
      </c>
    </row>
    <row r="6" spans="1:6" x14ac:dyDescent="0.4">
      <c r="A6" s="2" t="s">
        <v>4</v>
      </c>
      <c r="B6" s="2" t="s">
        <v>5</v>
      </c>
      <c r="C6" s="7" t="s">
        <v>16</v>
      </c>
      <c r="D6" s="2" t="s">
        <v>6</v>
      </c>
      <c r="E6" s="2" t="s">
        <v>7</v>
      </c>
      <c r="F6" s="2" t="s">
        <v>8</v>
      </c>
    </row>
    <row r="7" spans="1:6" x14ac:dyDescent="0.4">
      <c r="A7" s="3" t="s">
        <v>9</v>
      </c>
      <c r="B7" s="4" t="s">
        <v>10</v>
      </c>
      <c r="C7" s="5">
        <v>10</v>
      </c>
      <c r="D7" s="6">
        <v>8500000</v>
      </c>
      <c r="E7" s="6">
        <v>85000000</v>
      </c>
      <c r="F7" s="6">
        <v>8500000</v>
      </c>
    </row>
    <row r="8" spans="1:6" x14ac:dyDescent="0.4">
      <c r="A8" s="3" t="s">
        <v>9</v>
      </c>
      <c r="B8" s="4" t="s">
        <v>11</v>
      </c>
      <c r="C8" s="6">
        <v>3</v>
      </c>
      <c r="D8" s="6">
        <v>7225000</v>
      </c>
      <c r="E8" s="6">
        <v>21675000</v>
      </c>
      <c r="F8" s="6">
        <v>2167500</v>
      </c>
    </row>
    <row r="9" spans="1:6" x14ac:dyDescent="0.4">
      <c r="A9" s="3" t="s">
        <v>9</v>
      </c>
      <c r="B9" s="4" t="s">
        <v>12</v>
      </c>
      <c r="C9" s="5">
        <v>10</v>
      </c>
      <c r="D9" s="6">
        <v>420000</v>
      </c>
      <c r="E9" s="6">
        <v>4200000</v>
      </c>
      <c r="F9" s="6">
        <v>420000</v>
      </c>
    </row>
    <row r="10" spans="1:6" x14ac:dyDescent="0.4">
      <c r="A10" s="3" t="s">
        <v>9</v>
      </c>
      <c r="B10" s="4" t="s">
        <v>20</v>
      </c>
      <c r="C10" s="6">
        <v>1</v>
      </c>
      <c r="D10" s="6">
        <v>0</v>
      </c>
      <c r="E10" s="6">
        <v>0</v>
      </c>
      <c r="F10" s="6">
        <v>0</v>
      </c>
    </row>
    <row r="11" spans="1:6" x14ac:dyDescent="0.4">
      <c r="A11" s="3" t="s">
        <v>9</v>
      </c>
      <c r="B11" s="4" t="s">
        <v>13</v>
      </c>
      <c r="C11" s="5">
        <v>10</v>
      </c>
      <c r="D11" s="6">
        <v>420000</v>
      </c>
      <c r="E11" s="6">
        <v>4200000</v>
      </c>
      <c r="F11" s="6">
        <v>420000</v>
      </c>
    </row>
    <row r="12" spans="1:6" x14ac:dyDescent="0.4">
      <c r="A12" s="3" t="s">
        <v>9</v>
      </c>
      <c r="B12" s="4" t="s">
        <v>21</v>
      </c>
      <c r="C12" s="6">
        <v>1</v>
      </c>
      <c r="D12" s="6">
        <v>0</v>
      </c>
      <c r="E12" s="6">
        <v>0</v>
      </c>
      <c r="F12" s="6">
        <v>0</v>
      </c>
    </row>
    <row r="13" spans="1:6" x14ac:dyDescent="0.4">
      <c r="A13" s="3" t="s">
        <v>9</v>
      </c>
      <c r="B13" s="4" t="s">
        <v>14</v>
      </c>
      <c r="C13" s="5">
        <v>20</v>
      </c>
      <c r="D13" s="6">
        <v>1250000</v>
      </c>
      <c r="E13" s="6">
        <v>25000000</v>
      </c>
      <c r="F13" s="6">
        <v>2500000</v>
      </c>
    </row>
    <row r="14" spans="1:6" x14ac:dyDescent="0.4">
      <c r="A14" s="3" t="s">
        <v>9</v>
      </c>
      <c r="B14" s="4" t="s">
        <v>24</v>
      </c>
      <c r="C14" s="6">
        <v>2</v>
      </c>
      <c r="D14" s="6">
        <v>0</v>
      </c>
      <c r="E14" s="6">
        <v>0</v>
      </c>
      <c r="F14" s="6">
        <v>0</v>
      </c>
    </row>
    <row r="15" spans="1:6" x14ac:dyDescent="0.4">
      <c r="A15" s="3" t="s">
        <v>9</v>
      </c>
      <c r="B15" s="4" t="s">
        <v>15</v>
      </c>
      <c r="C15" s="5">
        <v>20</v>
      </c>
      <c r="D15" s="6">
        <v>1250000</v>
      </c>
      <c r="E15" s="6">
        <v>25000000</v>
      </c>
      <c r="F15" s="6">
        <v>2500000</v>
      </c>
    </row>
    <row r="16" spans="1:6" x14ac:dyDescent="0.4">
      <c r="A16" s="3" t="s">
        <v>9</v>
      </c>
      <c r="B16" s="4" t="s">
        <v>23</v>
      </c>
      <c r="C16" s="6">
        <v>2</v>
      </c>
      <c r="D16" s="6">
        <v>0</v>
      </c>
      <c r="E16" s="6">
        <v>0</v>
      </c>
      <c r="F16" s="6">
        <v>0</v>
      </c>
    </row>
    <row r="17" spans="1:6" x14ac:dyDescent="0.4">
      <c r="A17" s="8" t="s">
        <v>9</v>
      </c>
      <c r="B17" s="9" t="s">
        <v>10</v>
      </c>
      <c r="C17" s="10">
        <v>10</v>
      </c>
      <c r="D17" s="11">
        <v>8500000</v>
      </c>
      <c r="E17" s="11">
        <v>85000000</v>
      </c>
      <c r="F17" s="11">
        <v>8500000</v>
      </c>
    </row>
    <row r="18" spans="1:6" x14ac:dyDescent="0.4">
      <c r="A18" s="8" t="s">
        <v>9</v>
      </c>
      <c r="B18" s="9" t="s">
        <v>17</v>
      </c>
      <c r="C18" s="10">
        <v>140</v>
      </c>
      <c r="D18" s="11">
        <v>1250000</v>
      </c>
      <c r="E18" s="11">
        <v>175000000</v>
      </c>
      <c r="F18" s="11">
        <v>17500000</v>
      </c>
    </row>
    <row r="19" spans="1:6" x14ac:dyDescent="0.4">
      <c r="A19" s="15" t="s">
        <v>9</v>
      </c>
      <c r="B19" s="16" t="s">
        <v>22</v>
      </c>
      <c r="C19" s="17">
        <v>110</v>
      </c>
      <c r="D19" s="18">
        <v>1250000</v>
      </c>
      <c r="E19" s="18">
        <v>137500000</v>
      </c>
      <c r="F19" s="18">
        <v>13750000</v>
      </c>
    </row>
    <row r="20" spans="1:6" s="13" customFormat="1" x14ac:dyDescent="0.4">
      <c r="A20" s="19"/>
      <c r="B20" s="20" t="s">
        <v>19</v>
      </c>
      <c r="C20" s="21">
        <f>SUM(C7:C19)</f>
        <v>339</v>
      </c>
      <c r="D20" s="21">
        <f t="shared" ref="D20:F20" si="0">SUM(D7:D19)</f>
        <v>30065000</v>
      </c>
      <c r="E20" s="21">
        <f t="shared" si="0"/>
        <v>562575000</v>
      </c>
      <c r="F20" s="21">
        <f t="shared" si="0"/>
        <v>56257500</v>
      </c>
    </row>
    <row r="21" spans="1:6" s="13" customFormat="1" x14ac:dyDescent="0.4"/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혜원 나</cp:lastModifiedBy>
  <dcterms:created xsi:type="dcterms:W3CDTF">2026-07-01T10:05:45Z</dcterms:created>
  <dcterms:modified xsi:type="dcterms:W3CDTF">2026-07-01T01:15:43Z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