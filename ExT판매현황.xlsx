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NGS결산\"/>
    </mc:Choice>
  </mc:AlternateContent>
  <xr:revisionPtr revIDLastSave="0" documentId="8_{F85D7867-3A7C-441E-A7C0-09213A38E44C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판매현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  <c r="G29" i="1" s="1"/>
  <c r="E28" i="1"/>
  <c r="G28" i="1" s="1"/>
  <c r="E26" i="1"/>
  <c r="G26" i="1" s="1"/>
  <c r="E25" i="1"/>
  <c r="G25" i="1" s="1"/>
  <c r="E27" i="1"/>
  <c r="G27" i="1" s="1"/>
  <c r="E24" i="1"/>
  <c r="G24" i="1" s="1"/>
</calcChain>
</file>

<file path=xl/sharedStrings.xml><?xml version="1.0" encoding="utf-8"?>
<sst xmlns="http://schemas.openxmlformats.org/spreadsheetml/2006/main" count="156" uniqueCount="81">
  <si>
    <t xml:space="preserve">회사명 : (주)뉴진사이언스 / EXT Starter pack 외 19건 / 2025/12/01  ~ 2026/07/01 </t>
  </si>
  <si>
    <t>일자-No.</t>
  </si>
  <si>
    <t>거래처명</t>
  </si>
  <si>
    <t>수량</t>
  </si>
  <si>
    <t>단가</t>
  </si>
  <si>
    <t>공급가액</t>
  </si>
  <si>
    <t>부가세</t>
  </si>
  <si>
    <t>합계</t>
  </si>
  <si>
    <t>품목코드</t>
  </si>
  <si>
    <t>품목명(규격)</t>
  </si>
  <si>
    <t>2026/06/22 -1</t>
  </si>
  <si>
    <t>이디랩서비스</t>
  </si>
  <si>
    <t>EXT1000S</t>
  </si>
  <si>
    <t>ExTransfection, Transfection System starter pack (pipette, Station, 10ul, 100ul tips 192reaction)</t>
  </si>
  <si>
    <t>2026/06/10 -2</t>
  </si>
  <si>
    <t>주식회사 다윈바이오텍</t>
  </si>
  <si>
    <t>EXT1025K</t>
  </si>
  <si>
    <t>ExTransfection 10 ul kit (25 x 2 reactions)</t>
  </si>
  <si>
    <t>EXT10025K</t>
  </si>
  <si>
    <t>ExTransfection 100 ul kit (25 x 2 reactions)</t>
  </si>
  <si>
    <t>EXT1096K</t>
  </si>
  <si>
    <t>ExTransfection 10 ul kit (96 x 2 reactions)</t>
  </si>
  <si>
    <t>EXT10096K</t>
  </si>
  <si>
    <t>ExTransfection 100 ul kit (96 x 2 reactions)</t>
  </si>
  <si>
    <t>2026/06/09 -1</t>
  </si>
  <si>
    <t>(주)아이마켓코리아</t>
  </si>
  <si>
    <t>2026/06/04 -2</t>
  </si>
  <si>
    <t>주식회사 옵티젠</t>
  </si>
  <si>
    <t>2026/06/01 -1</t>
  </si>
  <si>
    <t>2026/05/31 -1</t>
  </si>
  <si>
    <t>EXT10096K(할증)</t>
  </si>
  <si>
    <t>ExTransfection 100 μL Kit (96 × 2 reactions) [kit]</t>
  </si>
  <si>
    <t>2026/05/06 -1</t>
  </si>
  <si>
    <t>한국과학기술연구원</t>
  </si>
  <si>
    <t>2026/04/30 -1</t>
  </si>
  <si>
    <t>EXT10025K(할증)</t>
  </si>
  <si>
    <t>ExTransfection 100 μL Kit (25 × 2 reactions) [kit]</t>
  </si>
  <si>
    <t>2026/04/13 -2</t>
  </si>
  <si>
    <t>2026/04/09 -2</t>
  </si>
  <si>
    <t>2026/04/09 -1</t>
  </si>
  <si>
    <t>EXT-10025K(지역)</t>
  </si>
  <si>
    <t>[EXT-10025K] ExTransfection 100 ul Kit (25 x 2 reaction)</t>
  </si>
  <si>
    <t>EXT-10096K(지역)</t>
  </si>
  <si>
    <t>[EXT-10096K] ExTransfection 100 ul Kit (96 x 2 reaction)</t>
  </si>
  <si>
    <t>2026/03/26 -1</t>
  </si>
  <si>
    <t>2026/03/25 -1</t>
  </si>
  <si>
    <t>2026/03/20 -1</t>
  </si>
  <si>
    <t>2026/03/11 -1</t>
  </si>
  <si>
    <t>서울대 이창규P</t>
  </si>
  <si>
    <t>2026/03/09 -1</t>
  </si>
  <si>
    <t>성균관대학교산학협력단</t>
  </si>
  <si>
    <t>2026/03/02 -1</t>
  </si>
  <si>
    <t>2026/02/02 -4</t>
  </si>
  <si>
    <t>주식회사 더원바이오텍</t>
  </si>
  <si>
    <t>2026/02/02 -3</t>
  </si>
  <si>
    <t>2026/02/02 -2</t>
  </si>
  <si>
    <t>ExTransfection 10 ul kit (96 x 2 reactions) [set]</t>
  </si>
  <si>
    <t>2026/01/27 -2</t>
  </si>
  <si>
    <t>2026/01/26 -1</t>
  </si>
  <si>
    <t>주식회사 강스템바이오텍</t>
  </si>
  <si>
    <t>EXT50T</t>
  </si>
  <si>
    <t>ExTransfection Tube</t>
  </si>
  <si>
    <t>2026/01/19 -1</t>
  </si>
  <si>
    <t>오아텍(주)</t>
  </si>
  <si>
    <t>Demo_version</t>
  </si>
  <si>
    <t>EXT Starter pack [ea]</t>
  </si>
  <si>
    <t>ExTransfection 100 ul kit (96 x 2 reactions) [96 Tips]</t>
  </si>
  <si>
    <t>ExTransfection 10 ul kit (96 x 2 reactions) [96Tips]</t>
  </si>
  <si>
    <t>ExTransfection, Transfection System starter pack (pipette, Station, 10ul, 100ul tips 192reaction) [ea]</t>
  </si>
  <si>
    <t>총합계</t>
  </si>
  <si>
    <t>2026/07/01 (수) 오후 3:04:23</t>
  </si>
  <si>
    <t>2026/02/09 -2</t>
  </si>
  <si>
    <t>2026/03/02 -2</t>
  </si>
  <si>
    <t xml:space="preserve">[EXT-1000S] ExTransfection Starter Pack [Pipette, Station, 10ul, 100ul tips(192 rxn)] </t>
    <phoneticPr fontId="12" type="noConversion"/>
  </si>
  <si>
    <t>EXT1001S</t>
  </si>
  <si>
    <t>2026/03/02 -3</t>
  </si>
  <si>
    <t>EXT-1096K</t>
    <phoneticPr fontId="12" type="noConversion"/>
  </si>
  <si>
    <t xml:space="preserve">[EXT-1000S] ExTransfection Starter Pack [Pipette, Station, 10ul, 100ul tips(19*2  reaction))] </t>
    <phoneticPr fontId="12" type="noConversion"/>
  </si>
  <si>
    <t>[EXT-1096K] ExTransfection 10 ul Kit (96 x 2 reaction)</t>
    <phoneticPr fontId="12" type="noConversion"/>
  </si>
  <si>
    <t>EXT
10096K</t>
    <phoneticPr fontId="12" type="noConversion"/>
  </si>
  <si>
    <t>[EXT-10096K] ExTransfection 100 ul Kit (96 x 3 reaction)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</si>
</sst>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b/>
      <sz val="11"/>
      <name val="arial"/>
    </font>
    <font>
      <b/>
      <sz val="12"/>
      <name val="Malgun Gothic"/>
      <family val="3"/>
      <charset val="129"/>
    </font>
    <font>
      <b/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b/>
      <sz val="12"/>
      <color rgb="FF000000"/>
      <name val="Dotum"/>
      <family val="3"/>
      <charset val="129"/>
    </font>
    <font>
      <b/>
      <sz val="12"/>
      <name val="Malgun Gothic"/>
      <family val="3"/>
      <charset val="129"/>
    </font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 wrapText="1"/>
    </xf>
    <xf numFmtId="3" fontId="6" fillId="0" borderId="6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 wrapText="1"/>
    </xf>
    <xf numFmtId="3" fontId="10" fillId="4" borderId="10" xfId="0" applyNumberFormat="1" applyFont="1" applyFill="1" applyBorder="1" applyAlignment="1">
      <alignment horizontal="right" vertical="center"/>
    </xf>
    <xf numFmtId="0" fontId="11" fillId="0" borderId="11" xfId="0" applyFont="1" applyBorder="1" applyAlignment="1">
      <alignment horizontal="left" vertical="center"/>
    </xf>
    <xf numFmtId="0" fontId="9" fillId="3" borderId="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3" fontId="5" fillId="5" borderId="5" xfId="0" applyNumberFormat="1" applyFont="1" applyFill="1" applyBorder="1" applyAlignment="1">
      <alignment horizontal="center" vertical="center" wrapText="1"/>
    </xf>
    <xf numFmtId="3" fontId="6" fillId="5" borderId="6" xfId="0" applyNumberFormat="1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left" vertical="center"/>
    </xf>
    <xf numFmtId="3" fontId="5" fillId="5" borderId="10" xfId="0" applyNumberFormat="1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left" vertical="center"/>
    </xf>
    <xf numFmtId="0" fontId="4" fillId="5" borderId="13" xfId="0" applyFont="1" applyFill="1" applyBorder="1" applyAlignment="1">
      <alignment horizontal="left" vertical="center" wrapText="1"/>
    </xf>
    <xf numFmtId="0" fontId="7" fillId="5" borderId="13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13" fillId="5" borderId="12" xfId="0" applyFont="1" applyFill="1" applyBorder="1"/>
    <xf numFmtId="0" fontId="4" fillId="5" borderId="1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activeCell="S27" sqref="S27"/>
    </sheetView>
  </sheetViews>
  <sheetFormatPr defaultRowHeight="14.4"/>
  <cols>
    <col min="1" max="1" width="16.6640625" customWidth="1"/>
    <col min="2" max="2" width="24.109375" customWidth="1"/>
    <col min="3" max="3" width="10" customWidth="1"/>
    <col min="4" max="4" width="18.21875" customWidth="1"/>
    <col min="5" max="5" width="15.109375" customWidth="1"/>
    <col min="6" max="8" width="16.6640625" customWidth="1"/>
    <col min="9" max="9" width="24" customWidth="1"/>
  </cols>
  <sheetData>
    <row r="1" spans="1:9">
      <c r="A1" s="1" t="s">
        <v>0</v>
      </c>
    </row>
    <row r="2" spans="1:9" ht="19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2" t="s">
        <v>9</v>
      </c>
    </row>
    <row r="3" spans="1:9" ht="96">
      <c r="A3" s="4" t="s">
        <v>10</v>
      </c>
      <c r="B3" s="4" t="s">
        <v>11</v>
      </c>
      <c r="C3" s="5">
        <v>1</v>
      </c>
      <c r="D3" s="5">
        <v>12000000</v>
      </c>
      <c r="E3" s="5">
        <v>12000000</v>
      </c>
      <c r="F3" s="6">
        <v>1200000</v>
      </c>
      <c r="G3" s="6">
        <v>13200000</v>
      </c>
      <c r="H3" s="7" t="s">
        <v>12</v>
      </c>
      <c r="I3" s="8" t="s">
        <v>13</v>
      </c>
    </row>
    <row r="4" spans="1:9" ht="38.4">
      <c r="A4" s="4" t="s">
        <v>14</v>
      </c>
      <c r="B4" s="4" t="s">
        <v>15</v>
      </c>
      <c r="C4" s="5">
        <v>1</v>
      </c>
      <c r="D4" s="5">
        <v>521250</v>
      </c>
      <c r="E4" s="5">
        <v>521250</v>
      </c>
      <c r="F4" s="6">
        <v>52125</v>
      </c>
      <c r="G4" s="6">
        <v>573375</v>
      </c>
      <c r="H4" s="7" t="s">
        <v>16</v>
      </c>
      <c r="I4" s="8" t="s">
        <v>17</v>
      </c>
    </row>
    <row r="5" spans="1:9" ht="38.4">
      <c r="A5" s="4" t="s">
        <v>14</v>
      </c>
      <c r="B5" s="4" t="s">
        <v>15</v>
      </c>
      <c r="C5" s="5">
        <v>4</v>
      </c>
      <c r="D5" s="5">
        <v>521250</v>
      </c>
      <c r="E5" s="5">
        <v>2085000</v>
      </c>
      <c r="F5" s="6">
        <v>208500</v>
      </c>
      <c r="G5" s="6">
        <v>2293500</v>
      </c>
      <c r="H5" s="7" t="s">
        <v>18</v>
      </c>
      <c r="I5" s="8" t="s">
        <v>19</v>
      </c>
    </row>
    <row r="6" spans="1:9" ht="38.4">
      <c r="A6" s="4" t="s">
        <v>14</v>
      </c>
      <c r="B6" s="4" t="s">
        <v>15</v>
      </c>
      <c r="C6" s="5">
        <v>3</v>
      </c>
      <c r="D6" s="5">
        <v>1500000</v>
      </c>
      <c r="E6" s="5">
        <v>4500000</v>
      </c>
      <c r="F6" s="6">
        <v>450000</v>
      </c>
      <c r="G6" s="6">
        <v>4950000</v>
      </c>
      <c r="H6" s="7" t="s">
        <v>20</v>
      </c>
      <c r="I6" s="8" t="s">
        <v>21</v>
      </c>
    </row>
    <row r="7" spans="1:9" ht="38.4">
      <c r="A7" s="4" t="s">
        <v>14</v>
      </c>
      <c r="B7" s="4" t="s">
        <v>15</v>
      </c>
      <c r="C7" s="5">
        <v>6</v>
      </c>
      <c r="D7" s="5">
        <v>1500000</v>
      </c>
      <c r="E7" s="5">
        <v>9000000</v>
      </c>
      <c r="F7" s="6">
        <v>900000</v>
      </c>
      <c r="G7" s="6">
        <v>9900000</v>
      </c>
      <c r="H7" s="7" t="s">
        <v>22</v>
      </c>
      <c r="I7" s="8" t="s">
        <v>23</v>
      </c>
    </row>
    <row r="8" spans="1:9" ht="38.4">
      <c r="A8" s="4" t="s">
        <v>24</v>
      </c>
      <c r="B8" s="4" t="s">
        <v>25</v>
      </c>
      <c r="C8" s="5">
        <v>1</v>
      </c>
      <c r="D8" s="5">
        <v>2000000</v>
      </c>
      <c r="E8" s="5">
        <v>2000000</v>
      </c>
      <c r="F8" s="6">
        <v>200000</v>
      </c>
      <c r="G8" s="6">
        <v>2200000</v>
      </c>
      <c r="H8" s="7" t="s">
        <v>22</v>
      </c>
      <c r="I8" s="8" t="s">
        <v>23</v>
      </c>
    </row>
    <row r="9" spans="1:9" ht="38.4">
      <c r="A9" s="4" t="s">
        <v>26</v>
      </c>
      <c r="B9" s="4" t="s">
        <v>27</v>
      </c>
      <c r="C9" s="5">
        <v>1</v>
      </c>
      <c r="D9" s="5">
        <v>1800000</v>
      </c>
      <c r="E9" s="5">
        <v>1800000</v>
      </c>
      <c r="F9" s="6">
        <v>180000</v>
      </c>
      <c r="G9" s="6">
        <v>1980000</v>
      </c>
      <c r="H9" s="7" t="s">
        <v>22</v>
      </c>
      <c r="I9" s="8" t="s">
        <v>23</v>
      </c>
    </row>
    <row r="10" spans="1:9" ht="38.4">
      <c r="A10" s="4" t="s">
        <v>28</v>
      </c>
      <c r="B10" s="4" t="s">
        <v>15</v>
      </c>
      <c r="C10" s="5">
        <v>1</v>
      </c>
      <c r="D10" s="5">
        <v>521250</v>
      </c>
      <c r="E10" s="5">
        <v>521250</v>
      </c>
      <c r="F10" s="6">
        <v>52125</v>
      </c>
      <c r="G10" s="6">
        <v>573375</v>
      </c>
      <c r="H10" s="7" t="s">
        <v>18</v>
      </c>
      <c r="I10" s="8" t="s">
        <v>19</v>
      </c>
    </row>
    <row r="11" spans="1:9" ht="38.4">
      <c r="A11" s="4" t="s">
        <v>28</v>
      </c>
      <c r="B11" s="4" t="s">
        <v>15</v>
      </c>
      <c r="C11" s="5">
        <v>1</v>
      </c>
      <c r="D11" s="5">
        <v>1500000</v>
      </c>
      <c r="E11" s="5">
        <v>1500000</v>
      </c>
      <c r="F11" s="6">
        <v>150000</v>
      </c>
      <c r="G11" s="6">
        <v>1650000</v>
      </c>
      <c r="H11" s="7" t="s">
        <v>22</v>
      </c>
      <c r="I11" s="8" t="s">
        <v>23</v>
      </c>
    </row>
    <row r="12" spans="1:9" ht="57.6">
      <c r="A12" s="4" t="s">
        <v>29</v>
      </c>
      <c r="B12" s="4" t="s">
        <v>25</v>
      </c>
      <c r="C12" s="5">
        <v>1</v>
      </c>
      <c r="D12" s="5">
        <v>2000000</v>
      </c>
      <c r="E12" s="5">
        <v>2000000</v>
      </c>
      <c r="F12" s="6">
        <v>200000</v>
      </c>
      <c r="G12" s="6">
        <v>2200000</v>
      </c>
      <c r="H12" s="7" t="s">
        <v>30</v>
      </c>
      <c r="I12" s="8" t="s">
        <v>31</v>
      </c>
    </row>
    <row r="13" spans="1:9" ht="38.4">
      <c r="A13" s="4" t="s">
        <v>32</v>
      </c>
      <c r="B13" s="4" t="s">
        <v>33</v>
      </c>
      <c r="C13" s="5">
        <v>1</v>
      </c>
      <c r="D13" s="5">
        <v>2000000</v>
      </c>
      <c r="E13" s="5">
        <v>2000000</v>
      </c>
      <c r="F13" s="6">
        <v>200000</v>
      </c>
      <c r="G13" s="6">
        <v>2200000</v>
      </c>
      <c r="H13" s="7" t="s">
        <v>22</v>
      </c>
      <c r="I13" s="8" t="s">
        <v>23</v>
      </c>
    </row>
    <row r="14" spans="1:9" ht="57.6">
      <c r="A14" s="4" t="s">
        <v>34</v>
      </c>
      <c r="B14" s="4" t="s">
        <v>25</v>
      </c>
      <c r="C14" s="5">
        <v>1</v>
      </c>
      <c r="D14" s="5">
        <v>2000000</v>
      </c>
      <c r="E14" s="5">
        <v>2000000</v>
      </c>
      <c r="F14" s="6">
        <v>200000</v>
      </c>
      <c r="G14" s="6">
        <v>2200000</v>
      </c>
      <c r="H14" s="7" t="s">
        <v>35</v>
      </c>
      <c r="I14" s="8" t="s">
        <v>36</v>
      </c>
    </row>
    <row r="15" spans="1:9" ht="38.4">
      <c r="A15" s="4" t="s">
        <v>37</v>
      </c>
      <c r="B15" s="4" t="s">
        <v>15</v>
      </c>
      <c r="C15" s="5">
        <v>1</v>
      </c>
      <c r="D15" s="5">
        <v>521250</v>
      </c>
      <c r="E15" s="5">
        <v>521250</v>
      </c>
      <c r="F15" s="6">
        <v>52125</v>
      </c>
      <c r="G15" s="6">
        <v>573375</v>
      </c>
      <c r="H15" s="7" t="s">
        <v>18</v>
      </c>
      <c r="I15" s="8" t="s">
        <v>19</v>
      </c>
    </row>
    <row r="16" spans="1:9" ht="38.4">
      <c r="A16" s="4" t="s">
        <v>37</v>
      </c>
      <c r="B16" s="4" t="s">
        <v>15</v>
      </c>
      <c r="C16" s="5">
        <v>1</v>
      </c>
      <c r="D16" s="5">
        <v>521250</v>
      </c>
      <c r="E16" s="5">
        <v>521250</v>
      </c>
      <c r="F16" s="6">
        <v>52125</v>
      </c>
      <c r="G16" s="6">
        <v>573375</v>
      </c>
      <c r="H16" s="7" t="s">
        <v>16</v>
      </c>
      <c r="I16" s="8" t="s">
        <v>17</v>
      </c>
    </row>
    <row r="17" spans="1:9" ht="57.6">
      <c r="A17" s="4" t="s">
        <v>38</v>
      </c>
      <c r="B17" s="4" t="s">
        <v>15</v>
      </c>
      <c r="C17" s="5">
        <v>1</v>
      </c>
      <c r="D17" s="5">
        <v>521250</v>
      </c>
      <c r="E17" s="5">
        <v>521250</v>
      </c>
      <c r="F17" s="6">
        <v>52125</v>
      </c>
      <c r="G17" s="6">
        <v>573375</v>
      </c>
      <c r="H17" s="7" t="s">
        <v>40</v>
      </c>
      <c r="I17" s="8" t="s">
        <v>41</v>
      </c>
    </row>
    <row r="18" spans="1:9" ht="57.6">
      <c r="A18" s="4" t="s">
        <v>39</v>
      </c>
      <c r="B18" s="4" t="s">
        <v>15</v>
      </c>
      <c r="C18" s="5">
        <v>8</v>
      </c>
      <c r="D18" s="5">
        <v>1500000</v>
      </c>
      <c r="E18" s="5">
        <v>12000000</v>
      </c>
      <c r="F18" s="6">
        <v>1200000</v>
      </c>
      <c r="G18" s="6">
        <v>13200000</v>
      </c>
      <c r="H18" s="7" t="s">
        <v>42</v>
      </c>
      <c r="I18" s="8" t="s">
        <v>43</v>
      </c>
    </row>
    <row r="19" spans="1:9" ht="38.4">
      <c r="A19" s="4" t="s">
        <v>44</v>
      </c>
      <c r="B19" s="4" t="s">
        <v>27</v>
      </c>
      <c r="C19" s="5">
        <v>1</v>
      </c>
      <c r="D19" s="5">
        <v>1800000</v>
      </c>
      <c r="E19" s="5">
        <v>1800000</v>
      </c>
      <c r="F19" s="6">
        <v>180000</v>
      </c>
      <c r="G19" s="6">
        <v>1980000</v>
      </c>
      <c r="H19" s="7" t="s">
        <v>22</v>
      </c>
      <c r="I19" s="8" t="s">
        <v>23</v>
      </c>
    </row>
    <row r="20" spans="1:9" ht="38.4">
      <c r="A20" s="4" t="s">
        <v>45</v>
      </c>
      <c r="B20" s="4" t="s">
        <v>15</v>
      </c>
      <c r="C20" s="5">
        <v>1</v>
      </c>
      <c r="D20" s="5">
        <v>521250</v>
      </c>
      <c r="E20" s="5">
        <v>521250</v>
      </c>
      <c r="F20" s="6">
        <v>52125</v>
      </c>
      <c r="G20" s="6">
        <v>573375</v>
      </c>
      <c r="H20" s="7" t="s">
        <v>18</v>
      </c>
      <c r="I20" s="8" t="s">
        <v>19</v>
      </c>
    </row>
    <row r="21" spans="1:9" ht="38.4">
      <c r="A21" s="4" t="s">
        <v>46</v>
      </c>
      <c r="B21" s="4" t="s">
        <v>15</v>
      </c>
      <c r="C21" s="5">
        <v>1</v>
      </c>
      <c r="D21" s="5">
        <v>521250</v>
      </c>
      <c r="E21" s="5">
        <v>521250</v>
      </c>
      <c r="F21" s="6">
        <v>52125</v>
      </c>
      <c r="G21" s="6">
        <v>573375</v>
      </c>
      <c r="H21" s="7" t="s">
        <v>16</v>
      </c>
      <c r="I21" s="8" t="s">
        <v>17</v>
      </c>
    </row>
    <row r="22" spans="1:9" ht="38.4">
      <c r="A22" s="4" t="s">
        <v>47</v>
      </c>
      <c r="B22" s="4" t="s">
        <v>48</v>
      </c>
      <c r="C22" s="5">
        <v>1</v>
      </c>
      <c r="D22" s="5">
        <v>2000000</v>
      </c>
      <c r="E22" s="5">
        <v>2000000</v>
      </c>
      <c r="F22" s="6">
        <v>200000</v>
      </c>
      <c r="G22" s="6">
        <v>2200000</v>
      </c>
      <c r="H22" s="7" t="s">
        <v>20</v>
      </c>
      <c r="I22" s="8" t="s">
        <v>21</v>
      </c>
    </row>
    <row r="23" spans="1:9" ht="38.4">
      <c r="A23" s="4" t="s">
        <v>49</v>
      </c>
      <c r="B23" s="4" t="s">
        <v>50</v>
      </c>
      <c r="C23" s="5">
        <v>1</v>
      </c>
      <c r="D23" s="5">
        <v>2000000</v>
      </c>
      <c r="E23" s="5">
        <v>2000000</v>
      </c>
      <c r="F23" s="6">
        <v>200000</v>
      </c>
      <c r="G23" s="6">
        <v>2200000</v>
      </c>
      <c r="H23" s="7" t="s">
        <v>22</v>
      </c>
      <c r="I23" s="8" t="s">
        <v>23</v>
      </c>
    </row>
    <row r="24" spans="1:9" ht="96">
      <c r="A24" s="13" t="s">
        <v>51</v>
      </c>
      <c r="B24" s="13" t="s">
        <v>15</v>
      </c>
      <c r="C24" s="14">
        <v>2</v>
      </c>
      <c r="D24" s="14">
        <v>12460000</v>
      </c>
      <c r="E24" s="14">
        <f>D24*2</f>
        <v>24920000</v>
      </c>
      <c r="F24" s="15">
        <v>2492000</v>
      </c>
      <c r="G24" s="15">
        <f>E24+F24</f>
        <v>27412000</v>
      </c>
      <c r="H24" s="16" t="s">
        <v>12</v>
      </c>
      <c r="I24" s="21" t="s">
        <v>73</v>
      </c>
    </row>
    <row r="25" spans="1:9" ht="19.2">
      <c r="A25" s="13" t="s">
        <v>72</v>
      </c>
      <c r="B25" s="13" t="s">
        <v>15</v>
      </c>
      <c r="C25" s="14">
        <v>3</v>
      </c>
      <c r="D25" s="14">
        <v>1500000</v>
      </c>
      <c r="E25" s="14">
        <f>C25*D25</f>
        <v>4500000</v>
      </c>
      <c r="F25" s="15">
        <v>450000</v>
      </c>
      <c r="G25" s="15">
        <f>E25+F25</f>
        <v>4950000</v>
      </c>
      <c r="H25" s="18" t="s">
        <v>76</v>
      </c>
      <c r="I25" s="23" t="s">
        <v>78</v>
      </c>
    </row>
    <row r="26" spans="1:9" ht="38.4">
      <c r="A26" s="13" t="s">
        <v>75</v>
      </c>
      <c r="B26" s="13" t="s">
        <v>15</v>
      </c>
      <c r="C26" s="17">
        <v>3</v>
      </c>
      <c r="D26" s="14">
        <v>1500000</v>
      </c>
      <c r="E26" s="14">
        <f>C26*D26</f>
        <v>4500000</v>
      </c>
      <c r="F26" s="15">
        <v>450000</v>
      </c>
      <c r="G26" s="15">
        <f>E26+F26</f>
        <v>4950000</v>
      </c>
      <c r="H26" s="19" t="s">
        <v>79</v>
      </c>
      <c r="I26" s="23" t="s">
        <v>80</v>
      </c>
    </row>
    <row r="27" spans="1:9" ht="96">
      <c r="A27" s="13" t="s">
        <v>71</v>
      </c>
      <c r="B27" s="13" t="s">
        <v>15</v>
      </c>
      <c r="C27" s="17">
        <v>3</v>
      </c>
      <c r="D27" s="17">
        <v>12460000</v>
      </c>
      <c r="E27" s="14">
        <f>D27*3</f>
        <v>37380000</v>
      </c>
      <c r="F27" s="15">
        <v>3738000</v>
      </c>
      <c r="G27" s="15">
        <f t="shared" ref="G27" si="0">E27+F27</f>
        <v>41118000</v>
      </c>
      <c r="H27" s="20" t="s">
        <v>74</v>
      </c>
      <c r="I27" s="24" t="s">
        <v>77</v>
      </c>
    </row>
    <row r="28" spans="1:9" ht="19.2">
      <c r="A28" s="13" t="s">
        <v>72</v>
      </c>
      <c r="B28" s="13" t="s">
        <v>15</v>
      </c>
      <c r="C28" s="14">
        <v>2</v>
      </c>
      <c r="D28" s="14">
        <v>1500000</v>
      </c>
      <c r="E28" s="14">
        <f>C28*D28</f>
        <v>3000000</v>
      </c>
      <c r="F28" s="15">
        <v>300000</v>
      </c>
      <c r="G28" s="15">
        <f>E28+F28</f>
        <v>3300000</v>
      </c>
      <c r="H28" s="18" t="s">
        <v>76</v>
      </c>
      <c r="I28" s="23" t="s">
        <v>78</v>
      </c>
    </row>
    <row r="29" spans="1:9" ht="38.4">
      <c r="A29" s="13" t="s">
        <v>75</v>
      </c>
      <c r="B29" s="13" t="s">
        <v>15</v>
      </c>
      <c r="C29" s="17">
        <v>2</v>
      </c>
      <c r="D29" s="14">
        <v>1500000</v>
      </c>
      <c r="E29" s="14">
        <f>C29*D29</f>
        <v>3000000</v>
      </c>
      <c r="F29" s="15">
        <v>300000</v>
      </c>
      <c r="G29" s="15">
        <f>E29+F29</f>
        <v>3300000</v>
      </c>
      <c r="H29" s="19" t="s">
        <v>79</v>
      </c>
      <c r="I29" s="23" t="s">
        <v>80</v>
      </c>
    </row>
    <row r="30" spans="1:9" ht="38.4">
      <c r="A30" s="4" t="s">
        <v>52</v>
      </c>
      <c r="B30" s="4" t="s">
        <v>53</v>
      </c>
      <c r="C30" s="5">
        <v>1</v>
      </c>
      <c r="D30" s="5">
        <v>590750</v>
      </c>
      <c r="E30" s="5">
        <v>590750</v>
      </c>
      <c r="F30" s="6">
        <v>59075</v>
      </c>
      <c r="G30" s="6">
        <v>649825</v>
      </c>
      <c r="H30" s="7" t="s">
        <v>16</v>
      </c>
      <c r="I30" s="22" t="s">
        <v>17</v>
      </c>
    </row>
    <row r="31" spans="1:9" ht="38.4">
      <c r="A31" s="4" t="s">
        <v>54</v>
      </c>
      <c r="B31" s="4" t="s">
        <v>15</v>
      </c>
      <c r="C31" s="5">
        <v>2</v>
      </c>
      <c r="D31" s="5">
        <v>1500000</v>
      </c>
      <c r="E31" s="5">
        <v>3000000</v>
      </c>
      <c r="F31" s="6">
        <v>300000</v>
      </c>
      <c r="G31" s="6">
        <v>3300000</v>
      </c>
      <c r="H31" s="7" t="s">
        <v>20</v>
      </c>
      <c r="I31" s="8" t="s">
        <v>21</v>
      </c>
    </row>
    <row r="32" spans="1:9" ht="57.6">
      <c r="A32" s="4" t="s">
        <v>55</v>
      </c>
      <c r="B32" s="4" t="s">
        <v>11</v>
      </c>
      <c r="C32" s="5">
        <v>3</v>
      </c>
      <c r="D32" s="5">
        <v>1400000</v>
      </c>
      <c r="E32" s="5">
        <v>4200000</v>
      </c>
      <c r="F32" s="6">
        <v>420000</v>
      </c>
      <c r="G32" s="6">
        <v>4620000</v>
      </c>
      <c r="H32" s="7" t="s">
        <v>20</v>
      </c>
      <c r="I32" s="8" t="s">
        <v>56</v>
      </c>
    </row>
    <row r="33" spans="1:9" ht="38.4">
      <c r="A33" s="4" t="s">
        <v>57</v>
      </c>
      <c r="B33" s="4" t="s">
        <v>27</v>
      </c>
      <c r="C33" s="5">
        <v>1</v>
      </c>
      <c r="D33" s="5">
        <v>1700000</v>
      </c>
      <c r="E33" s="5">
        <v>1700000</v>
      </c>
      <c r="F33" s="6">
        <v>170000</v>
      </c>
      <c r="G33" s="6">
        <v>1870000</v>
      </c>
      <c r="H33" s="7" t="s">
        <v>22</v>
      </c>
      <c r="I33" s="8" t="s">
        <v>23</v>
      </c>
    </row>
    <row r="34" spans="1:9" ht="38.4">
      <c r="A34" s="4" t="s">
        <v>58</v>
      </c>
      <c r="B34" s="4" t="s">
        <v>59</v>
      </c>
      <c r="C34" s="5">
        <v>1</v>
      </c>
      <c r="D34" s="5">
        <v>330000</v>
      </c>
      <c r="E34" s="5">
        <v>330000</v>
      </c>
      <c r="F34" s="6">
        <v>33000</v>
      </c>
      <c r="G34" s="6">
        <v>363000</v>
      </c>
      <c r="H34" s="7" t="s">
        <v>60</v>
      </c>
      <c r="I34" s="8" t="s">
        <v>61</v>
      </c>
    </row>
    <row r="35" spans="1:9" ht="19.2">
      <c r="A35" s="4" t="s">
        <v>62</v>
      </c>
      <c r="B35" s="4" t="s">
        <v>63</v>
      </c>
      <c r="C35" s="5">
        <v>1</v>
      </c>
      <c r="D35" s="5">
        <v>10200000</v>
      </c>
      <c r="E35" s="5">
        <v>10200000</v>
      </c>
      <c r="F35" s="6">
        <v>1020000</v>
      </c>
      <c r="G35" s="6">
        <v>11220000</v>
      </c>
      <c r="H35" s="7" t="s">
        <v>64</v>
      </c>
      <c r="I35" s="8" t="s">
        <v>65</v>
      </c>
    </row>
    <row r="36" spans="1:9" ht="57.6">
      <c r="A36" s="4" t="s">
        <v>62</v>
      </c>
      <c r="B36" s="4" t="s">
        <v>63</v>
      </c>
      <c r="C36" s="5">
        <v>1</v>
      </c>
      <c r="D36" s="5">
        <v>1600000</v>
      </c>
      <c r="E36" s="5">
        <v>1600000</v>
      </c>
      <c r="F36" s="6">
        <v>160000</v>
      </c>
      <c r="G36" s="6">
        <v>1760000</v>
      </c>
      <c r="H36" s="7" t="s">
        <v>22</v>
      </c>
      <c r="I36" s="8" t="s">
        <v>66</v>
      </c>
    </row>
    <row r="37" spans="1:9" ht="57.6">
      <c r="A37" s="4" t="s">
        <v>62</v>
      </c>
      <c r="B37" s="4" t="s">
        <v>63</v>
      </c>
      <c r="C37" s="5">
        <v>1</v>
      </c>
      <c r="D37" s="5">
        <v>1600000</v>
      </c>
      <c r="E37" s="5">
        <v>1600000</v>
      </c>
      <c r="F37" s="6">
        <v>160000</v>
      </c>
      <c r="G37" s="6">
        <v>1760000</v>
      </c>
      <c r="H37" s="7" t="s">
        <v>20</v>
      </c>
      <c r="I37" s="8" t="s">
        <v>67</v>
      </c>
    </row>
    <row r="38" spans="1:9" ht="96">
      <c r="A38" s="4" t="s">
        <v>62</v>
      </c>
      <c r="B38" s="4" t="s">
        <v>63</v>
      </c>
      <c r="C38" s="5">
        <v>1</v>
      </c>
      <c r="D38" s="5">
        <v>12600000</v>
      </c>
      <c r="E38" s="5">
        <v>12600000</v>
      </c>
      <c r="F38" s="6">
        <v>1260000</v>
      </c>
      <c r="G38" s="6">
        <v>13860000</v>
      </c>
      <c r="H38" s="7" t="s">
        <v>12</v>
      </c>
      <c r="I38" s="8" t="s">
        <v>68</v>
      </c>
    </row>
    <row r="39" spans="1:9" ht="19.2">
      <c r="A39" s="11" t="s">
        <v>69</v>
      </c>
      <c r="B39" s="12"/>
      <c r="C39" s="9">
        <v>52</v>
      </c>
      <c r="D39" s="9">
        <v>146590750</v>
      </c>
      <c r="E39" s="9">
        <v>173454500</v>
      </c>
      <c r="F39" s="9">
        <v>17345450</v>
      </c>
      <c r="G39" s="9">
        <v>190799950</v>
      </c>
      <c r="H39" s="3"/>
      <c r="I39" s="3"/>
    </row>
    <row r="40" spans="1:9">
      <c r="A40" s="10" t="s">
        <v>70</v>
      </c>
    </row>
  </sheetData>
  <mergeCells count="1">
    <mergeCell ref="A39:B39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판매현황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혜원 나</cp:lastModifiedBy>
  <dcterms:created xsi:type="dcterms:W3CDTF">2026-07-01T06:06:53Z</dcterms:created>
  <dcterms:modified xsi:type="dcterms:W3CDTF">2026-07-02T08:03:09Z</dcterms:modified>
</cp:coreProperties>
</file>